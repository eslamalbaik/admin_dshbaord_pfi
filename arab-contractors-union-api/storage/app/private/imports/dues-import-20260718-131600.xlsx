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life.Co\Desktop\"/>
    </mc:Choice>
  </mc:AlternateContent>
  <xr:revisionPtr revIDLastSave="0" documentId="13_ncr:1_{8E13746C-ED1D-46FE-90B9-00B19E83B294}" xr6:coauthVersionLast="36" xr6:coauthVersionMax="36" xr10:uidLastSave="{00000000-0000-0000-0000-000000000000}"/>
  <bookViews>
    <workbookView xWindow="0" yWindow="0" windowWidth="23040" windowHeight="8952" xr2:uid="{FC7ECD33-E168-47B2-9B80-8C8CE75FE7AD}"/>
  </bookViews>
  <sheets>
    <sheet name="شركات المقاولات وتصنيفاتهم" sheetId="7" r:id="rId1"/>
  </sheets>
  <definedNames>
    <definedName name="_xlnm.Print_Area" localSheetId="0">'شركات المقاولات وتصنيفاتهم'!$A$1:$P$106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5" i="7" l="1"/>
  <c r="K104" i="7"/>
  <c r="K103" i="7"/>
  <c r="K106" i="7" s="1"/>
  <c r="M96" i="7"/>
  <c r="K102" i="7"/>
  <c r="L96" i="7" s="1"/>
  <c r="K101" i="7"/>
  <c r="K100" i="7"/>
  <c r="K99" i="7"/>
  <c r="K98" i="7"/>
  <c r="K97" i="7"/>
  <c r="K96" i="7"/>
  <c r="K94" i="7"/>
  <c r="K93" i="7"/>
  <c r="K92" i="7"/>
  <c r="K91" i="7"/>
  <c r="K90" i="7"/>
  <c r="K89" i="7"/>
  <c r="K95" i="7" s="1"/>
  <c r="K87" i="7"/>
  <c r="K86" i="7"/>
  <c r="K85" i="7"/>
  <c r="K84" i="7"/>
  <c r="K88" i="7" s="1"/>
  <c r="K82" i="7"/>
  <c r="K81" i="7"/>
  <c r="K80" i="7"/>
  <c r="K79" i="7"/>
  <c r="K78" i="7"/>
  <c r="K77" i="7"/>
  <c r="K76" i="7"/>
  <c r="K83" i="7" s="1"/>
  <c r="K74" i="7"/>
  <c r="K73" i="7"/>
  <c r="K72" i="7"/>
  <c r="K71" i="7"/>
  <c r="K70" i="7"/>
  <c r="K75" i="7" s="1"/>
  <c r="K68" i="7"/>
  <c r="K67" i="7"/>
  <c r="K66" i="7"/>
  <c r="K69" i="7" s="1"/>
  <c r="K64" i="7"/>
  <c r="K63" i="7"/>
  <c r="K62" i="7"/>
  <c r="K61" i="7"/>
  <c r="K60" i="7"/>
  <c r="K65" i="7" s="1"/>
  <c r="K58" i="7"/>
  <c r="K57" i="7"/>
  <c r="K56" i="7"/>
  <c r="K55" i="7"/>
  <c r="K54" i="7"/>
  <c r="K59" i="7" s="1"/>
  <c r="K52" i="7"/>
  <c r="K53" i="7" s="1"/>
  <c r="K51" i="7"/>
  <c r="K50" i="7"/>
  <c r="K48" i="7"/>
  <c r="K47" i="7"/>
  <c r="K46" i="7"/>
  <c r="K49" i="7" s="1"/>
  <c r="K45" i="7"/>
  <c r="K44" i="7"/>
  <c r="K42" i="7"/>
  <c r="K43" i="7" s="1"/>
  <c r="K41" i="7"/>
  <c r="K39" i="7"/>
  <c r="K38" i="7"/>
  <c r="K37" i="7"/>
  <c r="K36" i="7"/>
  <c r="K40" i="7" s="1"/>
  <c r="K34" i="7"/>
  <c r="K33" i="7"/>
  <c r="K32" i="7"/>
  <c r="K35" i="7" s="1"/>
  <c r="K30" i="7"/>
  <c r="K29" i="7"/>
  <c r="K28" i="7"/>
  <c r="K27" i="7"/>
  <c r="K26" i="7"/>
  <c r="K31" i="7" s="1"/>
  <c r="K24" i="7"/>
  <c r="K23" i="7"/>
  <c r="K25" i="7" s="1"/>
  <c r="K22" i="7"/>
  <c r="M18" i="7" s="1"/>
  <c r="K21" i="7"/>
  <c r="K20" i="7"/>
  <c r="K13" i="7"/>
  <c r="K14" i="7"/>
  <c r="K15" i="7"/>
  <c r="K16" i="7"/>
  <c r="K19" i="7"/>
  <c r="K18" i="7"/>
  <c r="K12" i="7"/>
  <c r="K17" i="7" s="1"/>
  <c r="K8" i="7"/>
  <c r="K9" i="7"/>
  <c r="K10" i="7"/>
  <c r="K7" i="7"/>
  <c r="L50" i="7" l="1"/>
  <c r="M50" i="7"/>
  <c r="M12" i="7"/>
  <c r="L12" i="7"/>
  <c r="M32" i="7"/>
  <c r="L32" i="7"/>
  <c r="L44" i="7"/>
  <c r="M44" i="7"/>
  <c r="M66" i="7"/>
  <c r="L66" i="7"/>
  <c r="L76" i="7"/>
  <c r="M76" i="7"/>
  <c r="M103" i="7"/>
  <c r="L103" i="7"/>
  <c r="L41" i="7"/>
  <c r="M41" i="7"/>
  <c r="L23" i="7"/>
  <c r="M23" i="7"/>
  <c r="L54" i="7"/>
  <c r="M54" i="7"/>
  <c r="L84" i="7"/>
  <c r="M84" i="7"/>
  <c r="L26" i="7"/>
  <c r="M26" i="7"/>
  <c r="M36" i="7"/>
  <c r="L36" i="7"/>
  <c r="L60" i="7"/>
  <c r="M60" i="7"/>
  <c r="M70" i="7"/>
  <c r="L70" i="7"/>
  <c r="L89" i="7"/>
  <c r="M89" i="7"/>
  <c r="L18" i="7"/>
  <c r="K11" i="7"/>
  <c r="M8" i="7" s="1"/>
  <c r="K3" i="7"/>
  <c r="K4" i="7"/>
  <c r="K5" i="7"/>
  <c r="K2" i="7"/>
  <c r="K6" i="7" s="1"/>
  <c r="L8" i="7" l="1"/>
  <c r="L4" i="7"/>
  <c r="M4" i="7"/>
</calcChain>
</file>

<file path=xl/sharedStrings.xml><?xml version="1.0" encoding="utf-8"?>
<sst xmlns="http://schemas.openxmlformats.org/spreadsheetml/2006/main" count="361" uniqueCount="106">
  <si>
    <t>شركة مشتهي للهندسة والمقاولات</t>
  </si>
  <si>
    <t xml:space="preserve"> صفوت مشتهى</t>
  </si>
  <si>
    <t>شركة مشتهي وحسونة للتجارة والمقاولات العامة</t>
  </si>
  <si>
    <t>حاتم حسونة</t>
  </si>
  <si>
    <t>شركة جواد كحيل للمقاولات والتجارة العامة</t>
  </si>
  <si>
    <t>محمد جواد كحيل</t>
  </si>
  <si>
    <t>شركة الشاعر للهندسة والتجارة</t>
  </si>
  <si>
    <t>رياض الشاعر</t>
  </si>
  <si>
    <t>شركة مجموعة شنن للتجارة العامة والمقاولات</t>
  </si>
  <si>
    <t>حسين  شنن</t>
  </si>
  <si>
    <t xml:space="preserve">شركة درويش ابو معيلق للتجارة والمقاولات </t>
  </si>
  <si>
    <t>نبيل ابو معيلق</t>
  </si>
  <si>
    <t>شركة عاشور للصناعة والتجارة والمقاولات</t>
  </si>
  <si>
    <t>صلاح الدين عاشور</t>
  </si>
  <si>
    <t>شركة أبراج مكة للهندسة والمقاولات العامة</t>
  </si>
  <si>
    <t>اياد أبو حمد</t>
  </si>
  <si>
    <t xml:space="preserve">شركة الصناعات الكهربائية </t>
  </si>
  <si>
    <t>شعبان السودة</t>
  </si>
  <si>
    <t>شركة ابناء الشيخ هاشم الخزندار للمقاولات</t>
  </si>
  <si>
    <t>هاشم الخزندار</t>
  </si>
  <si>
    <t>شركة بابل للتجارة والمقاولات العامة</t>
  </si>
  <si>
    <t>أحمد جمعة المصري</t>
  </si>
  <si>
    <t>شركة قناة السويس للتجارة والمقاولات</t>
  </si>
  <si>
    <t>سعدي سلامة</t>
  </si>
  <si>
    <t xml:space="preserve">شركة ابناء سعد للمقاولات </t>
  </si>
  <si>
    <t>سمير سعد</t>
  </si>
  <si>
    <t>شركة المنار للهندسة والمقاولات والتجارة العامة</t>
  </si>
  <si>
    <t>على كشكو</t>
  </si>
  <si>
    <t>شركة ابو شمالة للمقاولات والتجارة العامة</t>
  </si>
  <si>
    <t>حسين أبو شمالة</t>
  </si>
  <si>
    <t>شركة الزيتون للهندسة والمقاولات</t>
  </si>
  <si>
    <t>شركة ابو دلال  للمقاولات والتعهدات والتجارة العامة</t>
  </si>
  <si>
    <t>سالم أبو دلال</t>
  </si>
  <si>
    <t>شركة أسامة جبر كحيل وشركاه للتجارة والصناعة و للمقاولات</t>
  </si>
  <si>
    <t>أسامة كحيل</t>
  </si>
  <si>
    <t>شركة سلامة الإعمار للصناعة والتجارة العامة والمقاولات</t>
  </si>
  <si>
    <t>شركة ريحان للمقاولات م.خ.م</t>
  </si>
  <si>
    <t>ياسر ريحان</t>
  </si>
  <si>
    <t>رقم العضوية</t>
  </si>
  <si>
    <t>أبنية</t>
  </si>
  <si>
    <t>طرق</t>
  </si>
  <si>
    <t>مياه ومجاري</t>
  </si>
  <si>
    <t>أشغال عامة</t>
  </si>
  <si>
    <t>اسم الشركة</t>
  </si>
  <si>
    <t>المفوض</t>
  </si>
  <si>
    <t>المجال</t>
  </si>
  <si>
    <t>التخصص</t>
  </si>
  <si>
    <t>الدرجة</t>
  </si>
  <si>
    <t>سنة آخر جلسة</t>
  </si>
  <si>
    <t>رقم آخر جلسة تصنيف</t>
  </si>
  <si>
    <t>تاريخ الجلسة</t>
  </si>
  <si>
    <t>الطرق</t>
  </si>
  <si>
    <t>اولى أ</t>
  </si>
  <si>
    <t>2022</t>
  </si>
  <si>
    <t>2/2022</t>
  </si>
  <si>
    <t>الأبنية</t>
  </si>
  <si>
    <t>أولى أ</t>
  </si>
  <si>
    <t>كهروميكانيك</t>
  </si>
  <si>
    <t>اولى</t>
  </si>
  <si>
    <t>2023</t>
  </si>
  <si>
    <t>1/2023</t>
  </si>
  <si>
    <t>اولى ب</t>
  </si>
  <si>
    <t>صيانة أبنية</t>
  </si>
  <si>
    <t xml:space="preserve">اولى </t>
  </si>
  <si>
    <t>ثانية</t>
  </si>
  <si>
    <t>ثالثة</t>
  </si>
  <si>
    <t>03/2023</t>
  </si>
  <si>
    <t>ابنية</t>
  </si>
  <si>
    <t>خامسة</t>
  </si>
  <si>
    <t>2//2022</t>
  </si>
  <si>
    <t>أولي</t>
  </si>
  <si>
    <t>الأشغال العامة</t>
  </si>
  <si>
    <t>حفر الآبار</t>
  </si>
  <si>
    <t>4/2015</t>
  </si>
  <si>
    <t>25/11/2015</t>
  </si>
  <si>
    <t>منشات معدنية</t>
  </si>
  <si>
    <t>رابعة</t>
  </si>
  <si>
    <t>منشأت معدنية</t>
  </si>
  <si>
    <t>2020</t>
  </si>
  <si>
    <t>04/2020</t>
  </si>
  <si>
    <t>كهرباء</t>
  </si>
  <si>
    <t>2017</t>
  </si>
  <si>
    <t>1/2017</t>
  </si>
  <si>
    <t xml:space="preserve">الأشغال العامة </t>
  </si>
  <si>
    <t>1/2022</t>
  </si>
  <si>
    <t>الكهروميكانيك</t>
  </si>
  <si>
    <t>المياه والمجاري</t>
  </si>
  <si>
    <t>3/2023</t>
  </si>
  <si>
    <t>الابنية</t>
  </si>
  <si>
    <t>أولى ب</t>
  </si>
  <si>
    <t>أولى</t>
  </si>
  <si>
    <t>أولي ب</t>
  </si>
  <si>
    <t>2021</t>
  </si>
  <si>
    <t>01/2021</t>
  </si>
  <si>
    <t>كهروميكانك</t>
  </si>
  <si>
    <t>2//2023</t>
  </si>
  <si>
    <t>الاشغال العامة</t>
  </si>
  <si>
    <t>اشغال عامة</t>
  </si>
  <si>
    <t>2014</t>
  </si>
  <si>
    <t>2/2014</t>
  </si>
  <si>
    <t>م</t>
  </si>
  <si>
    <t>المشتغل المرخص</t>
  </si>
  <si>
    <t>المجموع</t>
  </si>
  <si>
    <t>2020 *50%</t>
  </si>
  <si>
    <t>2021*70%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</si>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</sst>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9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7"/>
      <color indexed="8"/>
      <name val="Calibri"/>
      <family val="2"/>
      <charset val="178"/>
    </font>
    <font>
      <b/>
      <sz val="17"/>
      <color indexed="8"/>
      <name val="Arial"/>
      <family val="2"/>
    </font>
    <font>
      <b/>
      <sz val="17"/>
      <name val="Arial"/>
      <family val="2"/>
    </font>
    <font>
      <b/>
      <sz val="18"/>
      <color indexed="8"/>
      <name val="Calibri"/>
      <family val="2"/>
      <charset val="178"/>
    </font>
    <font>
      <b/>
      <sz val="18"/>
      <color indexed="8"/>
      <name val="Arial"/>
      <family val="2"/>
    </font>
    <font>
      <b/>
      <sz val="17"/>
      <name val="GE SS Text Bold"/>
      <family val="1"/>
      <charset val="178"/>
    </font>
    <font>
      <b/>
      <sz val="17"/>
      <color indexed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0">
    <xf numFmtId="0" fontId="0" fillId="0" borderId="0" xfId="0"/>
    <xf numFmtId="0" fontId="4" fillId="2" borderId="2" xfId="1" applyFont="1" applyFill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/>
    </xf>
    <xf numFmtId="0" fontId="4" fillId="2" borderId="2" xfId="6" applyFont="1" applyFill="1" applyBorder="1" applyAlignment="1">
      <alignment horizontal="center" vertical="center" wrapText="1" readingOrder="2"/>
    </xf>
    <xf numFmtId="0" fontId="4" fillId="2" borderId="2" xfId="2" applyFont="1" applyFill="1" applyBorder="1" applyAlignment="1">
      <alignment horizontal="center" vertical="center" readingOrder="2"/>
    </xf>
    <xf numFmtId="0" fontId="7" fillId="3" borderId="4" xfId="1" applyFont="1" applyFill="1" applyBorder="1" applyAlignment="1">
      <alignment horizontal="center" vertical="center" wrapText="1" readingOrder="1"/>
    </xf>
    <xf numFmtId="0" fontId="7" fillId="3" borderId="7" xfId="1" applyFont="1" applyFill="1" applyBorder="1" applyAlignment="1">
      <alignment horizontal="center" vertical="center" wrapText="1" readingOrder="1"/>
    </xf>
    <xf numFmtId="0" fontId="7" fillId="3" borderId="6" xfId="1" applyFont="1" applyFill="1" applyBorder="1" applyAlignment="1">
      <alignment horizontal="center" vertical="center" wrapText="1" readingOrder="1"/>
    </xf>
    <xf numFmtId="0" fontId="7" fillId="3" borderId="8" xfId="1" applyFont="1" applyFill="1" applyBorder="1" applyAlignment="1">
      <alignment horizontal="center" vertical="center" wrapText="1" readingOrder="1"/>
    </xf>
    <xf numFmtId="0" fontId="7" fillId="3" borderId="1" xfId="1" applyFont="1" applyFill="1" applyBorder="1" applyAlignment="1">
      <alignment horizontal="center" vertical="center" wrapText="1" readingOrder="1"/>
    </xf>
    <xf numFmtId="49" fontId="7" fillId="3" borderId="1" xfId="1" applyNumberFormat="1" applyFont="1" applyFill="1" applyBorder="1" applyAlignment="1">
      <alignment horizontal="center" vertical="center" wrapText="1" readingOrder="1"/>
    </xf>
    <xf numFmtId="164" fontId="7" fillId="3" borderId="1" xfId="1" applyNumberFormat="1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2" fillId="2" borderId="6" xfId="0" applyNumberFormat="1" applyFont="1" applyFill="1" applyBorder="1" applyAlignment="1">
      <alignment horizontal="center" vertical="center"/>
    </xf>
    <xf numFmtId="9" fontId="2" fillId="2" borderId="5" xfId="0" applyNumberFormat="1" applyFont="1" applyFill="1" applyBorder="1" applyAlignment="1">
      <alignment horizontal="center" vertical="center"/>
    </xf>
    <xf numFmtId="1" fontId="3" fillId="2" borderId="6" xfId="1" applyNumberFormat="1" applyFont="1" applyFill="1" applyBorder="1" applyAlignment="1">
      <alignment vertical="center" wrapText="1" readingOrder="1"/>
    </xf>
    <xf numFmtId="1" fontId="3" fillId="2" borderId="5" xfId="1" applyNumberFormat="1" applyFont="1" applyFill="1" applyBorder="1" applyAlignment="1">
      <alignment vertical="center" wrapText="1" readingOrder="1"/>
    </xf>
    <xf numFmtId="1" fontId="3" fillId="2" borderId="3" xfId="1" applyNumberFormat="1" applyFont="1" applyFill="1" applyBorder="1" applyAlignment="1">
      <alignment vertical="center" wrapText="1" readingOrder="1"/>
    </xf>
    <xf numFmtId="0" fontId="2" fillId="4" borderId="2" xfId="0" applyFont="1" applyFill="1" applyBorder="1" applyAlignment="1">
      <alignment horizontal="center" vertical="center" readingOrder="1"/>
    </xf>
    <xf numFmtId="0" fontId="4" fillId="4" borderId="2" xfId="1" applyFont="1" applyFill="1" applyBorder="1" applyAlignment="1">
      <alignment horizontal="center" vertical="center" wrapText="1" readingOrder="2"/>
    </xf>
    <xf numFmtId="17" fontId="2" fillId="4" borderId="2" xfId="0" applyNumberFormat="1" applyFont="1" applyFill="1" applyBorder="1" applyAlignment="1">
      <alignment horizontal="center" vertical="center" readingOrder="1"/>
    </xf>
    <xf numFmtId="14" fontId="2" fillId="4" borderId="2" xfId="0" applyNumberFormat="1" applyFont="1" applyFill="1" applyBorder="1" applyAlignment="1">
      <alignment horizontal="center" vertical="center" readingOrder="1"/>
    </xf>
    <xf numFmtId="0" fontId="4" fillId="4" borderId="3" xfId="1" applyFont="1" applyFill="1" applyBorder="1" applyAlignment="1">
      <alignment horizontal="center" vertical="center" wrapText="1" readingOrder="1"/>
    </xf>
    <xf numFmtId="0" fontId="4" fillId="4" borderId="2" xfId="1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 readingOrder="1"/>
    </xf>
    <xf numFmtId="49" fontId="4" fillId="4" borderId="2" xfId="1" applyNumberFormat="1" applyFont="1" applyFill="1" applyBorder="1" applyAlignment="1">
      <alignment vertical="center" wrapText="1" readingOrder="1"/>
    </xf>
    <xf numFmtId="164" fontId="4" fillId="4" borderId="2" xfId="1" applyNumberFormat="1" applyFont="1" applyFill="1" applyBorder="1" applyAlignment="1">
      <alignment vertical="center" wrapText="1" readingOrder="1"/>
    </xf>
    <xf numFmtId="0" fontId="4" fillId="4" borderId="2" xfId="2" applyFont="1" applyFill="1" applyBorder="1" applyAlignment="1">
      <alignment horizontal="center" vertical="center" wrapText="1" readingOrder="2"/>
    </xf>
    <xf numFmtId="0" fontId="4" fillId="4" borderId="3" xfId="2" applyFont="1" applyFill="1" applyBorder="1" applyAlignment="1">
      <alignment horizontal="center" vertical="center" wrapText="1" readingOrder="2"/>
    </xf>
    <xf numFmtId="0" fontId="4" fillId="4" borderId="6" xfId="2" applyFont="1" applyFill="1" applyBorder="1" applyAlignment="1">
      <alignment horizontal="center" vertical="center" wrapText="1" readingOrder="1"/>
    </xf>
    <xf numFmtId="0" fontId="4" fillId="4" borderId="2" xfId="2" applyFont="1" applyFill="1" applyBorder="1" applyAlignment="1">
      <alignment horizontal="center" vertical="center" wrapText="1" readingOrder="1"/>
    </xf>
    <xf numFmtId="49" fontId="4" fillId="4" borderId="2" xfId="2" applyNumberFormat="1" applyFont="1" applyFill="1" applyBorder="1" applyAlignment="1">
      <alignment horizontal="center" vertical="center" wrapText="1" readingOrder="1"/>
    </xf>
    <xf numFmtId="164" fontId="4" fillId="4" borderId="2" xfId="2" applyNumberFormat="1" applyFont="1" applyFill="1" applyBorder="1" applyAlignment="1">
      <alignment horizontal="center" vertical="center" wrapText="1" readingOrder="1"/>
    </xf>
    <xf numFmtId="0" fontId="3" fillId="4" borderId="3" xfId="1" applyFont="1" applyFill="1" applyBorder="1" applyAlignment="1">
      <alignment horizontal="center" vertical="center" wrapText="1" readingOrder="2"/>
    </xf>
    <xf numFmtId="0" fontId="3" fillId="4" borderId="5" xfId="1" applyFont="1" applyFill="1" applyBorder="1" applyAlignment="1">
      <alignment horizontal="center" vertical="center" wrapText="1" readingOrder="2"/>
    </xf>
    <xf numFmtId="1" fontId="3" fillId="4" borderId="3" xfId="1" applyNumberFormat="1" applyFont="1" applyFill="1" applyBorder="1" applyAlignment="1">
      <alignment vertical="center" wrapText="1" readingOrder="1"/>
    </xf>
    <xf numFmtId="0" fontId="2" fillId="4" borderId="3" xfId="0" applyFont="1" applyFill="1" applyBorder="1" applyAlignment="1">
      <alignment horizontal="center" vertical="center"/>
    </xf>
    <xf numFmtId="49" fontId="3" fillId="4" borderId="3" xfId="1" applyNumberFormat="1" applyFont="1" applyFill="1" applyBorder="1" applyAlignment="1">
      <alignment horizontal="center" vertical="center" wrapText="1" readingOrder="1"/>
    </xf>
    <xf numFmtId="164" fontId="3" fillId="4" borderId="3" xfId="1" applyNumberFormat="1" applyFont="1" applyFill="1" applyBorder="1" applyAlignment="1">
      <alignment horizontal="center" vertical="center" wrapText="1" readingOrder="1"/>
    </xf>
    <xf numFmtId="0" fontId="4" fillId="4" borderId="2" xfId="6" applyFont="1" applyFill="1" applyBorder="1" applyAlignment="1">
      <alignment horizontal="center" vertical="center" wrapText="1" readingOrder="2"/>
    </xf>
    <xf numFmtId="49" fontId="4" fillId="4" borderId="2" xfId="1" applyNumberFormat="1" applyFont="1" applyFill="1" applyBorder="1" applyAlignment="1">
      <alignment horizontal="center" vertical="center" wrapText="1" readingOrder="1"/>
    </xf>
    <xf numFmtId="164" fontId="4" fillId="4" borderId="2" xfId="35" applyNumberFormat="1" applyFont="1" applyFill="1" applyBorder="1" applyAlignment="1">
      <alignment horizontal="center" vertical="center" readingOrder="1"/>
    </xf>
    <xf numFmtId="0" fontId="4" fillId="5" borderId="2" xfId="6" applyFont="1" applyFill="1" applyBorder="1" applyAlignment="1">
      <alignment horizontal="center" vertical="center" wrapText="1" readingOrder="2"/>
    </xf>
    <xf numFmtId="0" fontId="4" fillId="5" borderId="2" xfId="1" applyFont="1" applyFill="1" applyBorder="1" applyAlignment="1">
      <alignment horizontal="center" vertical="center" wrapText="1" readingOrder="2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" fontId="3" fillId="4" borderId="5" xfId="1" applyNumberFormat="1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/>
    </xf>
    <xf numFmtId="49" fontId="3" fillId="4" borderId="5" xfId="1" applyNumberFormat="1" applyFont="1" applyFill="1" applyBorder="1" applyAlignment="1">
      <alignment horizontal="center" vertical="center" wrapText="1" readingOrder="1"/>
    </xf>
    <xf numFmtId="164" fontId="3" fillId="4" borderId="5" xfId="1" applyNumberFormat="1" applyFont="1" applyFill="1" applyBorder="1" applyAlignment="1">
      <alignment horizontal="center" vertical="center" wrapText="1" readingOrder="1"/>
    </xf>
    <xf numFmtId="0" fontId="4" fillId="5" borderId="2" xfId="2" applyFont="1" applyFill="1" applyBorder="1" applyAlignment="1">
      <alignment horizontal="center" vertical="center" readingOrder="2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readingOrder="1"/>
    </xf>
    <xf numFmtId="49" fontId="2" fillId="4" borderId="0" xfId="0" applyNumberFormat="1" applyFont="1" applyFill="1" applyAlignment="1">
      <alignment horizontal="center" vertical="center" readingOrder="1"/>
    </xf>
    <xf numFmtId="164" fontId="2" fillId="4" borderId="0" xfId="0" applyNumberFormat="1" applyFont="1" applyFill="1" applyAlignment="1">
      <alignment horizontal="center" vertical="center" readingOrder="1"/>
    </xf>
    <xf numFmtId="17" fontId="4" fillId="4" borderId="2" xfId="1" applyNumberFormat="1" applyFont="1" applyFill="1" applyBorder="1" applyAlignment="1">
      <alignment horizontal="center" vertical="center" wrapText="1" readingOrder="1"/>
    </xf>
    <xf numFmtId="0" fontId="3" fillId="4" borderId="2" xfId="1" applyFont="1" applyFill="1" applyBorder="1" applyAlignment="1">
      <alignment horizontal="center" vertical="center" wrapText="1" readingOrder="2"/>
    </xf>
    <xf numFmtId="0" fontId="3" fillId="4" borderId="2" xfId="1" applyFont="1" applyFill="1" applyBorder="1" applyAlignment="1">
      <alignment horizontal="center" vertical="center" wrapText="1" readingOrder="1"/>
    </xf>
    <xf numFmtId="0" fontId="4" fillId="4" borderId="2" xfId="2" applyFont="1" applyFill="1" applyBorder="1" applyAlignment="1">
      <alignment horizontal="center" vertical="center" readingOrder="2"/>
    </xf>
    <xf numFmtId="9" fontId="2" fillId="4" borderId="5" xfId="0" applyNumberFormat="1" applyFont="1" applyFill="1" applyBorder="1" applyAlignment="1">
      <alignment horizontal="center" vertical="center"/>
    </xf>
    <xf numFmtId="49" fontId="3" fillId="4" borderId="2" xfId="1" applyNumberFormat="1" applyFont="1" applyFill="1" applyBorder="1" applyAlignment="1">
      <alignment horizontal="center" vertical="center" wrapText="1" readingOrder="1"/>
    </xf>
    <xf numFmtId="164" fontId="3" fillId="4" borderId="2" xfId="1" applyNumberFormat="1" applyFont="1" applyFill="1" applyBorder="1" applyAlignment="1">
      <alignment horizontal="center" vertical="center" wrapText="1" readingOrder="1"/>
    </xf>
    <xf numFmtId="0" fontId="3" fillId="4" borderId="2" xfId="2" applyFont="1" applyFill="1" applyBorder="1" applyAlignment="1">
      <alignment horizontal="center" vertical="center" wrapText="1" readingOrder="2"/>
    </xf>
    <xf numFmtId="0" fontId="3" fillId="4" borderId="2" xfId="2" applyFont="1" applyFill="1" applyBorder="1" applyAlignment="1">
      <alignment horizontal="center" vertical="center" wrapText="1" readingOrder="1"/>
    </xf>
    <xf numFmtId="49" fontId="3" fillId="4" borderId="2" xfId="2" applyNumberFormat="1" applyFont="1" applyFill="1" applyBorder="1" applyAlignment="1">
      <alignment horizontal="center" vertical="center" wrapText="1" readingOrder="1"/>
    </xf>
    <xf numFmtId="164" fontId="3" fillId="4" borderId="2" xfId="2" applyNumberFormat="1" applyFont="1" applyFill="1" applyBorder="1" applyAlignment="1">
      <alignment horizontal="center" vertical="center" wrapText="1" readingOrder="1"/>
    </xf>
    <xf numFmtId="164" fontId="4" fillId="4" borderId="2" xfId="1" applyNumberFormat="1" applyFont="1" applyFill="1" applyBorder="1" applyAlignment="1">
      <alignment horizontal="center" vertical="center" wrapText="1" readingOrder="1"/>
    </xf>
    <xf numFmtId="0" fontId="3" fillId="4" borderId="2" xfId="3" applyFont="1" applyFill="1" applyBorder="1" applyAlignment="1">
      <alignment horizontal="center" vertical="center" wrapText="1" readingOrder="2"/>
    </xf>
    <xf numFmtId="0" fontId="3" fillId="4" borderId="2" xfId="3" applyFont="1" applyFill="1" applyBorder="1" applyAlignment="1">
      <alignment horizontal="center" vertical="center" wrapText="1" readingOrder="1"/>
    </xf>
    <xf numFmtId="49" fontId="4" fillId="4" borderId="2" xfId="3" applyNumberFormat="1" applyFont="1" applyFill="1" applyBorder="1" applyAlignment="1">
      <alignment horizontal="center" vertical="center" wrapText="1" readingOrder="1"/>
    </xf>
    <xf numFmtId="164" fontId="4" fillId="4" borderId="2" xfId="36" applyNumberFormat="1" applyFont="1" applyFill="1" applyBorder="1" applyAlignment="1">
      <alignment horizontal="center" vertical="center" readingOrder="1"/>
    </xf>
    <xf numFmtId="49" fontId="4" fillId="4" borderId="2" xfId="4" applyNumberFormat="1" applyFont="1" applyFill="1" applyBorder="1" applyAlignment="1">
      <alignment horizontal="center" vertical="center" wrapText="1" readingOrder="1"/>
    </xf>
    <xf numFmtId="164" fontId="4" fillId="4" borderId="2" xfId="4" applyNumberFormat="1" applyFont="1" applyFill="1" applyBorder="1" applyAlignment="1">
      <alignment horizontal="center" vertical="center" wrapText="1" readingOrder="1"/>
    </xf>
    <xf numFmtId="49" fontId="3" fillId="4" borderId="2" xfId="5" applyNumberFormat="1" applyFont="1" applyFill="1" applyBorder="1" applyAlignment="1">
      <alignment horizontal="center" vertical="center" wrapText="1" readingOrder="1"/>
    </xf>
    <xf numFmtId="164" fontId="3" fillId="4" borderId="2" xfId="5" applyNumberFormat="1" applyFont="1" applyFill="1" applyBorder="1" applyAlignment="1">
      <alignment horizontal="center" vertical="center" wrapText="1" readingOrder="1"/>
    </xf>
    <xf numFmtId="0" fontId="4" fillId="4" borderId="2" xfId="4" applyFont="1" applyFill="1" applyBorder="1" applyAlignment="1">
      <alignment horizontal="center" vertical="center" wrapText="1" readingOrder="2"/>
    </xf>
    <xf numFmtId="0" fontId="4" fillId="4" borderId="6" xfId="4" applyFont="1" applyFill="1" applyBorder="1" applyAlignment="1">
      <alignment horizontal="center" vertical="center" wrapText="1" readingOrder="2"/>
    </xf>
    <xf numFmtId="0" fontId="4" fillId="4" borderId="2" xfId="4" applyFont="1" applyFill="1" applyBorder="1" applyAlignment="1">
      <alignment horizontal="center" vertical="center" wrapText="1" readingOrder="1"/>
    </xf>
    <xf numFmtId="0" fontId="3" fillId="4" borderId="2" xfId="5" applyFont="1" applyFill="1" applyBorder="1" applyAlignment="1">
      <alignment horizontal="center" vertical="center" wrapText="1" readingOrder="2"/>
    </xf>
    <xf numFmtId="0" fontId="6" fillId="4" borderId="2" xfId="5" applyFont="1" applyFill="1" applyBorder="1" applyAlignment="1">
      <alignment horizontal="center" vertical="center" wrapText="1" readingOrder="2"/>
    </xf>
    <xf numFmtId="0" fontId="3" fillId="4" borderId="2" xfId="5" applyFont="1" applyFill="1" applyBorder="1" applyAlignment="1">
      <alignment horizontal="center" vertical="center" wrapText="1" readingOrder="1"/>
    </xf>
    <xf numFmtId="0" fontId="3" fillId="4" borderId="2" xfId="6" applyFont="1" applyFill="1" applyBorder="1" applyAlignment="1">
      <alignment horizontal="center" vertical="center" wrapText="1" readingOrder="2"/>
    </xf>
    <xf numFmtId="0" fontId="3" fillId="4" borderId="2" xfId="6" applyFont="1" applyFill="1" applyBorder="1" applyAlignment="1">
      <alignment horizontal="center" vertical="center" wrapText="1" readingOrder="1"/>
    </xf>
    <xf numFmtId="49" fontId="3" fillId="4" borderId="2" xfId="6" applyNumberFormat="1" applyFont="1" applyFill="1" applyBorder="1" applyAlignment="1">
      <alignment horizontal="center" vertical="center" wrapText="1" readingOrder="1"/>
    </xf>
    <xf numFmtId="164" fontId="3" fillId="4" borderId="2" xfId="6" applyNumberFormat="1" applyFont="1" applyFill="1" applyBorder="1" applyAlignment="1">
      <alignment horizontal="center" vertical="center" wrapText="1" readingOrder="1"/>
    </xf>
    <xf numFmtId="49" fontId="3" fillId="2" borderId="2" xfId="2" applyNumberFormat="1" applyFont="1" applyFill="1" applyBorder="1" applyAlignment="1">
      <alignment horizontal="center" vertical="center" wrapText="1" readingOrder="1"/>
    </xf>
    <xf numFmtId="164" fontId="3" fillId="2" borderId="2" xfId="2" applyNumberFormat="1" applyFont="1" applyFill="1" applyBorder="1" applyAlignment="1">
      <alignment horizontal="center" vertical="center" wrapText="1" readingOrder="1"/>
    </xf>
    <xf numFmtId="0" fontId="3" fillId="2" borderId="2" xfId="2" applyFont="1" applyFill="1" applyBorder="1" applyAlignment="1">
      <alignment horizontal="center" vertical="center" wrapText="1" readingOrder="2"/>
    </xf>
    <xf numFmtId="0" fontId="3" fillId="2" borderId="2" xfId="2" applyFont="1" applyFill="1" applyBorder="1" applyAlignment="1">
      <alignment horizontal="center" vertical="center" wrapText="1" readingOrder="1"/>
    </xf>
    <xf numFmtId="49" fontId="3" fillId="2" borderId="2" xfId="6" applyNumberFormat="1" applyFont="1" applyFill="1" applyBorder="1" applyAlignment="1">
      <alignment horizontal="center" vertical="center" wrapText="1" readingOrder="1"/>
    </xf>
    <xf numFmtId="164" fontId="3" fillId="2" borderId="2" xfId="6" applyNumberFormat="1" applyFont="1" applyFill="1" applyBorder="1" applyAlignment="1">
      <alignment horizontal="center" vertical="center" wrapText="1" readingOrder="1"/>
    </xf>
    <xf numFmtId="0" fontId="3" fillId="2" borderId="2" xfId="6" applyFont="1" applyFill="1" applyBorder="1" applyAlignment="1">
      <alignment horizontal="center" vertical="center" wrapText="1" readingOrder="2"/>
    </xf>
    <xf numFmtId="0" fontId="3" fillId="2" borderId="2" xfId="6" applyFont="1" applyFill="1" applyBorder="1" applyAlignment="1">
      <alignment horizontal="center" vertical="center" wrapText="1" readingOrder="1"/>
    </xf>
    <xf numFmtId="0" fontId="4" fillId="2" borderId="6" xfId="1" applyFont="1" applyFill="1" applyBorder="1" applyAlignment="1">
      <alignment horizontal="center" vertical="center" wrapText="1" readingOrder="2"/>
    </xf>
    <xf numFmtId="0" fontId="4" fillId="2" borderId="5" xfId="1" applyFont="1" applyFill="1" applyBorder="1" applyAlignment="1">
      <alignment horizontal="center" vertical="center" wrapText="1" readingOrder="2"/>
    </xf>
    <xf numFmtId="0" fontId="4" fillId="2" borderId="3" xfId="1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" fontId="4" fillId="2" borderId="2" xfId="1" applyNumberFormat="1" applyFont="1" applyFill="1" applyBorder="1" applyAlignment="1">
      <alignment horizontal="center" vertical="center" wrapText="1" readingOrder="1"/>
    </xf>
    <xf numFmtId="164" fontId="4" fillId="2" borderId="2" xfId="35" applyNumberFormat="1" applyFont="1" applyFill="1" applyBorder="1" applyAlignment="1">
      <alignment horizontal="center" vertical="center" readingOrder="1"/>
    </xf>
    <xf numFmtId="0" fontId="4" fillId="2" borderId="2" xfId="1" applyFont="1" applyFill="1" applyBorder="1" applyAlignment="1">
      <alignment horizontal="center" vertical="center" wrapText="1" readingOrder="2"/>
    </xf>
    <xf numFmtId="0" fontId="4" fillId="2" borderId="2" xfId="1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readingOrder="1"/>
    </xf>
    <xf numFmtId="49" fontId="4" fillId="2" borderId="2" xfId="1" applyNumberFormat="1" applyFont="1" applyFill="1" applyBorder="1" applyAlignment="1">
      <alignment horizontal="center" vertical="center" wrapText="1" readingOrder="1"/>
    </xf>
    <xf numFmtId="164" fontId="4" fillId="2" borderId="2" xfId="1" applyNumberFormat="1" applyFont="1" applyFill="1" applyBorder="1" applyAlignment="1">
      <alignment horizontal="center" vertical="center" wrapText="1" readingOrder="1"/>
    </xf>
    <xf numFmtId="49" fontId="3" fillId="2" borderId="2" xfId="5" applyNumberFormat="1" applyFont="1" applyFill="1" applyBorder="1" applyAlignment="1">
      <alignment horizontal="center" vertical="center" wrapText="1" readingOrder="1"/>
    </xf>
    <xf numFmtId="164" fontId="3" fillId="2" borderId="2" xfId="5" applyNumberFormat="1" applyFont="1" applyFill="1" applyBorder="1" applyAlignment="1">
      <alignment horizontal="center" vertical="center" wrapText="1" readingOrder="1"/>
    </xf>
    <xf numFmtId="0" fontId="3" fillId="2" borderId="2" xfId="5" applyFont="1" applyFill="1" applyBorder="1" applyAlignment="1">
      <alignment horizontal="center" vertical="center" wrapText="1" readingOrder="2"/>
    </xf>
    <xf numFmtId="0" fontId="5" fillId="2" borderId="2" xfId="5" applyFont="1" applyFill="1" applyBorder="1" applyAlignment="1">
      <alignment horizontal="center" vertical="center" wrapText="1" readingOrder="2"/>
    </xf>
    <xf numFmtId="0" fontId="6" fillId="2" borderId="2" xfId="5" applyFont="1" applyFill="1" applyBorder="1" applyAlignment="1">
      <alignment horizontal="center" vertical="center" wrapText="1" readingOrder="2"/>
    </xf>
    <xf numFmtId="0" fontId="3" fillId="2" borderId="2" xfId="5" applyFont="1" applyFill="1" applyBorder="1" applyAlignment="1">
      <alignment horizontal="center" vertical="center" wrapText="1" readingOrder="1"/>
    </xf>
    <xf numFmtId="49" fontId="3" fillId="2" borderId="2" xfId="1" applyNumberFormat="1" applyFont="1" applyFill="1" applyBorder="1" applyAlignment="1">
      <alignment horizontal="center" vertical="center" wrapText="1" readingOrder="1"/>
    </xf>
    <xf numFmtId="164" fontId="3" fillId="2" borderId="2" xfId="1" applyNumberFormat="1" applyFont="1" applyFill="1" applyBorder="1" applyAlignment="1">
      <alignment horizontal="center" vertical="center" wrapText="1" readingOrder="1"/>
    </xf>
    <xf numFmtId="0" fontId="3" fillId="2" borderId="2" xfId="1" applyFont="1" applyFill="1" applyBorder="1" applyAlignment="1">
      <alignment horizontal="center" vertical="center" wrapText="1" readingOrder="2"/>
    </xf>
    <xf numFmtId="0" fontId="3" fillId="2" borderId="6" xfId="1" applyFont="1" applyFill="1" applyBorder="1" applyAlignment="1">
      <alignment horizontal="center" vertical="center" wrapText="1" readingOrder="2"/>
    </xf>
    <xf numFmtId="0" fontId="3" fillId="2" borderId="5" xfId="1" applyFont="1" applyFill="1" applyBorder="1" applyAlignment="1">
      <alignment horizontal="center" vertical="center" wrapText="1" readingOrder="2"/>
    </xf>
    <xf numFmtId="0" fontId="3" fillId="2" borderId="3" xfId="1" applyFont="1" applyFill="1" applyBorder="1" applyAlignment="1">
      <alignment horizontal="center" vertical="center" wrapText="1" readingOrder="2"/>
    </xf>
    <xf numFmtId="0" fontId="3" fillId="2" borderId="2" xfId="1" applyFont="1" applyFill="1" applyBorder="1" applyAlignment="1">
      <alignment horizontal="center" vertical="center" wrapText="1" readingOrder="1"/>
    </xf>
    <xf numFmtId="49" fontId="4" fillId="2" borderId="2" xfId="4" applyNumberFormat="1" applyFont="1" applyFill="1" applyBorder="1" applyAlignment="1">
      <alignment horizontal="center" vertical="center" wrapText="1" readingOrder="1"/>
    </xf>
    <xf numFmtId="164" fontId="4" fillId="2" borderId="2" xfId="4" applyNumberFormat="1" applyFont="1" applyFill="1" applyBorder="1" applyAlignment="1">
      <alignment horizontal="center" vertical="center" wrapText="1" readingOrder="1"/>
    </xf>
    <xf numFmtId="0" fontId="4" fillId="2" borderId="2" xfId="4" applyFont="1" applyFill="1" applyBorder="1" applyAlignment="1">
      <alignment horizontal="center" vertical="center" wrapText="1" readingOrder="2"/>
    </xf>
    <xf numFmtId="0" fontId="4" fillId="2" borderId="2" xfId="4" applyFont="1" applyFill="1" applyBorder="1" applyAlignment="1">
      <alignment horizontal="center" vertical="center" wrapText="1" readingOrder="1"/>
    </xf>
    <xf numFmtId="49" fontId="4" fillId="2" borderId="2" xfId="2" applyNumberFormat="1" applyFont="1" applyFill="1" applyBorder="1" applyAlignment="1">
      <alignment horizontal="center" vertical="center" wrapText="1" readingOrder="1"/>
    </xf>
    <xf numFmtId="164" fontId="4" fillId="2" borderId="2" xfId="2" applyNumberFormat="1" applyFont="1" applyFill="1" applyBorder="1" applyAlignment="1">
      <alignment horizontal="center" vertical="center" wrapText="1" readingOrder="1"/>
    </xf>
    <xf numFmtId="0" fontId="4" fillId="2" borderId="2" xfId="2" applyFont="1" applyFill="1" applyBorder="1" applyAlignment="1">
      <alignment horizontal="center" vertical="center" wrapText="1" readingOrder="2"/>
    </xf>
    <xf numFmtId="0" fontId="4" fillId="2" borderId="2" xfId="2" applyFont="1" applyFill="1" applyBorder="1" applyAlignment="1">
      <alignment horizontal="center" vertical="center" wrapText="1" readingOrder="1"/>
    </xf>
    <xf numFmtId="49" fontId="4" fillId="2" borderId="2" xfId="3" applyNumberFormat="1" applyFont="1" applyFill="1" applyBorder="1" applyAlignment="1">
      <alignment horizontal="center" vertical="center" wrapText="1" readingOrder="1"/>
    </xf>
    <xf numFmtId="164" fontId="4" fillId="2" borderId="2" xfId="36" applyNumberFormat="1" applyFont="1" applyFill="1" applyBorder="1" applyAlignment="1">
      <alignment horizontal="center" vertical="center" readingOrder="1"/>
    </xf>
    <xf numFmtId="0" fontId="3" fillId="2" borderId="2" xfId="3" applyFont="1" applyFill="1" applyBorder="1" applyAlignment="1">
      <alignment horizontal="center" vertical="center" wrapText="1" readingOrder="2"/>
    </xf>
    <xf numFmtId="0" fontId="3" fillId="2" borderId="2" xfId="3" applyFont="1" applyFill="1" applyBorder="1" applyAlignment="1">
      <alignment horizontal="center" vertical="center" wrapText="1" readingOrder="1"/>
    </xf>
    <xf numFmtId="0" fontId="4" fillId="2" borderId="6" xfId="6" applyFont="1" applyFill="1" applyBorder="1" applyAlignment="1">
      <alignment horizontal="center" vertical="center" wrapText="1" readingOrder="2"/>
    </xf>
    <xf numFmtId="0" fontId="4" fillId="2" borderId="5" xfId="6" applyFont="1" applyFill="1" applyBorder="1" applyAlignment="1">
      <alignment horizontal="center" vertical="center" wrapText="1" readingOrder="2"/>
    </xf>
    <xf numFmtId="0" fontId="4" fillId="2" borderId="3" xfId="6" applyFont="1" applyFill="1" applyBorder="1" applyAlignment="1">
      <alignment horizontal="center" vertical="center" wrapText="1" readingOrder="2"/>
    </xf>
    <xf numFmtId="17" fontId="2" fillId="2" borderId="2" xfId="0" applyNumberFormat="1" applyFont="1" applyFill="1" applyBorder="1" applyAlignment="1">
      <alignment horizontal="center" vertical="center" readingOrder="1"/>
    </xf>
    <xf numFmtId="14" fontId="2" fillId="2" borderId="2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readingOrder="1"/>
    </xf>
    <xf numFmtId="49" fontId="3" fillId="2" borderId="6" xfId="1" applyNumberFormat="1" applyFont="1" applyFill="1" applyBorder="1" applyAlignment="1">
      <alignment horizontal="center" vertical="center" wrapText="1" readingOrder="1"/>
    </xf>
    <xf numFmtId="49" fontId="3" fillId="2" borderId="5" xfId="1" applyNumberFormat="1" applyFont="1" applyFill="1" applyBorder="1" applyAlignment="1">
      <alignment horizontal="center" vertical="center" wrapText="1" readingOrder="1"/>
    </xf>
    <xf numFmtId="49" fontId="3" fillId="2" borderId="3" xfId="1" applyNumberFormat="1" applyFont="1" applyFill="1" applyBorder="1" applyAlignment="1">
      <alignment horizontal="center" vertical="center" wrapText="1" readingOrder="1"/>
    </xf>
    <xf numFmtId="164" fontId="3" fillId="2" borderId="6" xfId="1" applyNumberFormat="1" applyFont="1" applyFill="1" applyBorder="1" applyAlignment="1">
      <alignment horizontal="center" vertical="center" wrapText="1" readingOrder="1"/>
    </xf>
    <xf numFmtId="164" fontId="3" fillId="2" borderId="5" xfId="1" applyNumberFormat="1" applyFont="1" applyFill="1" applyBorder="1" applyAlignment="1">
      <alignment horizontal="center" vertical="center" wrapText="1" readingOrder="1"/>
    </xf>
    <xf numFmtId="164" fontId="3" fillId="2" borderId="3" xfId="1" applyNumberFormat="1" applyFont="1" applyFill="1" applyBorder="1" applyAlignment="1">
      <alignment horizontal="center" vertical="center" wrapText="1" readingOrder="1"/>
    </xf>
    <xf numFmtId="1" fontId="3" fillId="2" borderId="6" xfId="1" applyNumberFormat="1" applyFont="1" applyFill="1" applyBorder="1" applyAlignment="1">
      <alignment horizontal="center" vertical="center" wrapText="1" readingOrder="1"/>
    </xf>
    <xf numFmtId="1" fontId="3" fillId="2" borderId="5" xfId="1" applyNumberFormat="1" applyFont="1" applyFill="1" applyBorder="1" applyAlignment="1">
      <alignment horizontal="center" vertical="center" wrapText="1" readingOrder="1"/>
    </xf>
    <xf numFmtId="1" fontId="3" fillId="2" borderId="3" xfId="1" applyNumberFormat="1" applyFont="1" applyFill="1" applyBorder="1" applyAlignment="1">
      <alignment horizontal="center" vertical="center" wrapText="1" readingOrder="1"/>
    </xf>
    <xf numFmtId="0" fontId="4" fillId="2" borderId="6" xfId="1" applyFont="1" applyFill="1" applyBorder="1" applyAlignment="1">
      <alignment horizontal="center" vertical="center" wrapText="1" readingOrder="1"/>
    </xf>
    <xf numFmtId="0" fontId="4" fillId="2" borderId="5" xfId="1" applyFont="1" applyFill="1" applyBorder="1" applyAlignment="1">
      <alignment horizontal="center" vertical="center" wrapText="1" readingOrder="1"/>
    </xf>
    <xf numFmtId="0" fontId="4" fillId="2" borderId="3" xfId="1" applyFont="1" applyFill="1" applyBorder="1" applyAlignment="1">
      <alignment horizontal="center" vertical="center" wrapText="1" readingOrder="1"/>
    </xf>
    <xf numFmtId="0" fontId="4" fillId="2" borderId="6" xfId="2" applyFont="1" applyFill="1" applyBorder="1" applyAlignment="1">
      <alignment horizontal="center" vertical="center" wrapText="1" readingOrder="2"/>
    </xf>
    <xf numFmtId="0" fontId="4" fillId="2" borderId="5" xfId="2" applyFont="1" applyFill="1" applyBorder="1" applyAlignment="1">
      <alignment horizontal="center" vertical="center" wrapText="1" readingOrder="2"/>
    </xf>
    <xf numFmtId="0" fontId="4" fillId="2" borderId="3" xfId="2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49" fontId="4" fillId="2" borderId="6" xfId="1" applyNumberFormat="1" applyFont="1" applyFill="1" applyBorder="1" applyAlignment="1">
      <alignment horizontal="center" vertical="center" wrapText="1" readingOrder="1"/>
    </xf>
    <xf numFmtId="49" fontId="4" fillId="2" borderId="5" xfId="1" applyNumberFormat="1" applyFont="1" applyFill="1" applyBorder="1" applyAlignment="1">
      <alignment horizontal="center" vertical="center" wrapText="1" readingOrder="1"/>
    </xf>
    <xf numFmtId="49" fontId="4" fillId="2" borderId="3" xfId="1" applyNumberFormat="1" applyFont="1" applyFill="1" applyBorder="1" applyAlignment="1">
      <alignment horizontal="center" vertical="center" wrapText="1" readingOrder="1"/>
    </xf>
    <xf numFmtId="164" fontId="4" fillId="2" borderId="6" xfId="1" applyNumberFormat="1" applyFont="1" applyFill="1" applyBorder="1" applyAlignment="1">
      <alignment horizontal="center" vertical="center" wrapText="1" readingOrder="1"/>
    </xf>
    <xf numFmtId="164" fontId="4" fillId="2" borderId="5" xfId="1" applyNumberFormat="1" applyFont="1" applyFill="1" applyBorder="1" applyAlignment="1">
      <alignment horizontal="center" vertical="center" wrapText="1" readingOrder="1"/>
    </xf>
    <xf numFmtId="164" fontId="4" fillId="2" borderId="3" xfId="1" applyNumberFormat="1" applyFont="1" applyFill="1" applyBorder="1" applyAlignment="1">
      <alignment horizontal="center" vertical="center" wrapText="1" readingOrder="1"/>
    </xf>
  </cellXfs>
  <cellStyles count="48">
    <cellStyle name="Normal 2" xfId="1" xr:uid="{A2404C7F-2E06-49DD-A83D-54AA2FCE2811}"/>
    <cellStyle name="Normal 2 10" xfId="2" xr:uid="{031DAEFA-DD48-4B28-ADF4-316173D870B3}"/>
    <cellStyle name="Normal 2 11" xfId="42" xr:uid="{9280F864-43B7-4B7F-A9B0-5C6A11483410}"/>
    <cellStyle name="Normal 2 14" xfId="11" xr:uid="{8DA36AA7-BC2C-4491-913C-CC3AC34B9D8D}"/>
    <cellStyle name="Normal 2 15" xfId="38" xr:uid="{3B364507-1886-4FFC-87AF-DFC9BCC280F1}"/>
    <cellStyle name="Normal 2 18" xfId="12" xr:uid="{057F9847-8756-440D-AEF8-08B33C10019A}"/>
    <cellStyle name="Normal 2 2" xfId="22" xr:uid="{1F8CCBD4-08E9-4CC2-9E8A-4A2CA3432084}"/>
    <cellStyle name="Normal 2 20" xfId="3" xr:uid="{13D9F853-42DF-4968-ACC3-47DE625AE8CA}"/>
    <cellStyle name="Normal 2 22" xfId="20" xr:uid="{85914D4C-209F-4E0B-BDBE-73FCBC3D248F}"/>
    <cellStyle name="Normal 2 24" xfId="32" xr:uid="{42D21749-4889-4F1F-BC44-70C87D7553F0}"/>
    <cellStyle name="Normal 2 26" xfId="8" xr:uid="{122F1987-D818-44B9-BA57-BA4DD41B4E97}"/>
    <cellStyle name="Normal 2 28" xfId="30" xr:uid="{3A8FEC22-BB17-41BB-8C78-4733488FD94E}"/>
    <cellStyle name="Normal 2 29" xfId="7" xr:uid="{0732912F-0836-4451-B84D-82751526C125}"/>
    <cellStyle name="Normal 2 30" xfId="24" xr:uid="{0EF4BBE2-37C2-4E1F-941B-1105A4873655}"/>
    <cellStyle name="Normal 2 31" xfId="27" xr:uid="{52463EC2-8669-42B4-B612-8B2F6A8C24D7}"/>
    <cellStyle name="Normal 2 32" xfId="33" xr:uid="{AD7F7746-DBCB-4723-8665-3848A5192342}"/>
    <cellStyle name="Normal 2 33" xfId="29" xr:uid="{EFB859D1-C022-48FA-B850-F881EBB161F8}"/>
    <cellStyle name="Normal 2 34" xfId="13" xr:uid="{E3D7C3A9-91B0-43B7-90FC-BA23906AEAAE}"/>
    <cellStyle name="Normal 2 35" xfId="21" xr:uid="{AAFB14B4-9576-489E-BEEA-E00C70900BD7}"/>
    <cellStyle name="Normal 2 36" xfId="6" xr:uid="{40D9B5EC-5D27-4029-985F-AFB654774076}"/>
    <cellStyle name="Normal 2 37" xfId="16" xr:uid="{F90E9AC9-6A64-4D31-B709-16C41E3E1B93}"/>
    <cellStyle name="Normal 2 38" xfId="19" xr:uid="{DAB168A3-D84B-4730-986C-CB526144ABC5}"/>
    <cellStyle name="Normal 2 39" xfId="10" xr:uid="{CE12D117-5EAC-46F5-8F3A-8E64C5E81AE6}"/>
    <cellStyle name="Normal 2 40" xfId="26" xr:uid="{EAFEAFEA-22BD-4C0A-BCBA-22BF58380EDC}"/>
    <cellStyle name="Normal 2 41" xfId="18" xr:uid="{7AC7320E-A5CA-4E4C-B25A-A2E87E0CC939}"/>
    <cellStyle name="Normal 2 42" xfId="4" xr:uid="{200C5385-8A81-411B-B493-AA37C72C2E1C}"/>
    <cellStyle name="Normal 2 43" xfId="25" xr:uid="{6D21087A-3224-4B1C-B47D-991B034A3B34}"/>
    <cellStyle name="Normal 2 44" xfId="17" xr:uid="{D483FC13-91FA-4ECE-882C-B0A71D8B94BC}"/>
    <cellStyle name="Normal 2 45" xfId="34" xr:uid="{8A73729D-59A5-4587-8905-E91FBA6B2090}"/>
    <cellStyle name="Normal 2 46" xfId="23" xr:uid="{13BA71E6-8BA2-4F11-A92A-9045308E8F6A}"/>
    <cellStyle name="Normal 2 47" xfId="28" xr:uid="{1BEBE604-AB79-46D5-B4B3-405A744F193D}"/>
    <cellStyle name="Normal 2 48" xfId="5" xr:uid="{FA0FD1EB-11E7-41D5-93DD-1DEBC38266DF}"/>
    <cellStyle name="Normal 2 49" xfId="15" xr:uid="{A418E42F-16B5-4485-88AF-624053C80666}"/>
    <cellStyle name="Normal 2 50" xfId="31" xr:uid="{66FAD666-FD8E-45FD-818A-371496473B32}"/>
    <cellStyle name="Normal 2 51" xfId="14" xr:uid="{18A02486-039E-48F1-B1CD-EDFAF8424AD4}"/>
    <cellStyle name="Normal 2 6" xfId="9" xr:uid="{E4F21C2F-89DF-44C1-895B-7608F4057E87}"/>
    <cellStyle name="Normal 3" xfId="35" xr:uid="{948360EE-AB77-46D3-B7F7-5D4CCCC0276F}"/>
    <cellStyle name="Normal 3 10" xfId="37" xr:uid="{6BC67AF3-96A9-48D9-9146-23BAF4ABE8FB}"/>
    <cellStyle name="Normal 3 11" xfId="43" xr:uid="{E81D7926-2543-48CB-B277-2061847740E1}"/>
    <cellStyle name="Normal 3 15" xfId="39" xr:uid="{EA8C9D9E-2475-4D0F-9B05-4945E18035C9}"/>
    <cellStyle name="Normal 3 18" xfId="40" xr:uid="{4F63E605-3965-4E24-80E7-D1E3DE0DEF53}"/>
    <cellStyle name="Normal 3 20" xfId="36" xr:uid="{119B0681-CD91-4815-8B23-11111CB5400F}"/>
    <cellStyle name="Normal 3 22" xfId="41" xr:uid="{342F568C-A85D-4B09-BB78-AF61BC00163D}"/>
    <cellStyle name="Normal 3 24" xfId="47" xr:uid="{86363DE5-C738-442E-9DF8-E5FB7E80A36B}"/>
    <cellStyle name="Normal 3 28" xfId="46" xr:uid="{82EC2BC5-F5A2-4AB0-86A0-73D20113C857}"/>
    <cellStyle name="Normal 3 30" xfId="44" xr:uid="{9E988B0C-BA90-45E0-A9D3-9BD70C865D29}"/>
    <cellStyle name="Normal 3 40" xfId="45" xr:uid="{A7E4305B-71C2-49E9-A0C6-E02FD1E1936F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786E-11D2-4FA0-A24E-A7AEE0681DDA}">
  <dimension ref="A1:P106"/>
  <sheetViews>
    <sheetView rightToLeft="1" tabSelected="1" view="pageBreakPreview" zoomScale="55" zoomScaleNormal="55" zoomScaleSheetLayoutView="55" workbookViewId="0">
      <pane xSplit="1" ySplit="1" topLeftCell="B83" activePane="bottomRight" state="frozen"/>
      <selection pane="topRight" activeCell="B1" sqref="B1"/>
      <selection pane="bottomLeft" activeCell="A2" sqref="A2"/>
      <selection pane="bottomRight" activeCell="F79" sqref="F79:J80"/>
    </sheetView>
  </sheetViews>
  <sheetFormatPr defaultRowHeight="13.8"/>
  <cols>
    <col min="1" max="1" width="6.8984375" customWidth="1"/>
    <col min="2" max="2" width="57.19921875" bestFit="1" customWidth="1"/>
    <col min="3" max="3" width="19.59765625" bestFit="1" customWidth="1"/>
    <col min="4" max="4" width="10.59765625" customWidth="1"/>
    <col min="5" max="5" width="24.19921875" customWidth="1"/>
    <col min="6" max="6" width="18.69921875" customWidth="1"/>
    <col min="7" max="7" width="16.296875" customWidth="1"/>
    <col min="8" max="11" width="11.3984375" customWidth="1"/>
    <col min="12" max="12" width="16" customWidth="1"/>
    <col min="13" max="13" width="14.3984375" customWidth="1"/>
    <col min="14" max="14" width="9.69921875" bestFit="1" customWidth="1"/>
    <col min="15" max="15" width="11.8984375" bestFit="1" customWidth="1"/>
    <col min="16" max="16" width="16.09765625" bestFit="1" customWidth="1"/>
    <col min="17" max="17" width="9.59765625" customWidth="1"/>
  </cols>
  <sheetData>
    <row r="1" spans="1:16" ht="63">
      <c r="A1" s="7" t="s">
        <v>100</v>
      </c>
      <c r="B1" s="8" t="s">
        <v>43</v>
      </c>
      <c r="C1" s="11" t="s">
        <v>44</v>
      </c>
      <c r="D1" s="9" t="s">
        <v>38</v>
      </c>
      <c r="E1" s="10" t="s">
        <v>101</v>
      </c>
      <c r="F1" s="11" t="s">
        <v>45</v>
      </c>
      <c r="G1" s="11" t="s">
        <v>46</v>
      </c>
      <c r="H1" s="11" t="s">
        <v>47</v>
      </c>
      <c r="I1" s="11"/>
      <c r="J1" s="11"/>
      <c r="K1" s="11"/>
      <c r="L1" s="11" t="s">
        <v>103</v>
      </c>
      <c r="M1" s="11" t="s">
        <v>104</v>
      </c>
      <c r="N1" s="11" t="s">
        <v>48</v>
      </c>
      <c r="O1" s="12" t="s">
        <v>49</v>
      </c>
      <c r="P1" s="13" t="s">
        <v>50</v>
      </c>
    </row>
    <row r="2" spans="1:16" ht="22.2">
      <c r="A2" s="123">
        <v>1</v>
      </c>
      <c r="B2" s="123" t="s">
        <v>0</v>
      </c>
      <c r="C2" s="152" t="s">
        <v>1</v>
      </c>
      <c r="D2" s="152">
        <v>1</v>
      </c>
      <c r="E2" s="152">
        <v>563161397</v>
      </c>
      <c r="F2" s="1" t="s">
        <v>51</v>
      </c>
      <c r="G2" s="1" t="s">
        <v>40</v>
      </c>
      <c r="H2" s="2" t="s">
        <v>52</v>
      </c>
      <c r="I2" s="15">
        <v>600</v>
      </c>
      <c r="J2" s="18">
        <v>1</v>
      </c>
      <c r="K2" s="15">
        <f>I2*J2</f>
        <v>600</v>
      </c>
      <c r="L2" s="15"/>
      <c r="M2" s="15"/>
      <c r="N2" s="146" t="s">
        <v>53</v>
      </c>
      <c r="O2" s="146" t="s">
        <v>54</v>
      </c>
      <c r="P2" s="149">
        <v>44783</v>
      </c>
    </row>
    <row r="3" spans="1:16" ht="22.2">
      <c r="A3" s="124"/>
      <c r="B3" s="124"/>
      <c r="C3" s="153"/>
      <c r="D3" s="153"/>
      <c r="E3" s="153"/>
      <c r="F3" s="1" t="s">
        <v>55</v>
      </c>
      <c r="G3" s="1" t="s">
        <v>39</v>
      </c>
      <c r="H3" s="2" t="s">
        <v>56</v>
      </c>
      <c r="I3" s="16">
        <v>600</v>
      </c>
      <c r="J3" s="19">
        <v>0.5</v>
      </c>
      <c r="K3" s="15">
        <f t="shared" ref="K3:K5" si="0">I3*J3</f>
        <v>300</v>
      </c>
      <c r="L3" s="16"/>
      <c r="M3" s="16"/>
      <c r="N3" s="147"/>
      <c r="O3" s="147"/>
      <c r="P3" s="150"/>
    </row>
    <row r="4" spans="1:16" ht="22.2">
      <c r="A4" s="124"/>
      <c r="B4" s="124"/>
      <c r="C4" s="153"/>
      <c r="D4" s="153"/>
      <c r="E4" s="153"/>
      <c r="F4" s="1" t="s">
        <v>57</v>
      </c>
      <c r="G4" s="1" t="s">
        <v>57</v>
      </c>
      <c r="H4" s="2" t="s">
        <v>58</v>
      </c>
      <c r="I4" s="16">
        <v>400</v>
      </c>
      <c r="J4" s="19">
        <v>0.5</v>
      </c>
      <c r="K4" s="15">
        <f t="shared" si="0"/>
        <v>200</v>
      </c>
      <c r="L4" s="16">
        <f>K6*50%</f>
        <v>650</v>
      </c>
      <c r="M4" s="16">
        <f>K6*0.7</f>
        <v>909.99999999999989</v>
      </c>
      <c r="N4" s="147"/>
      <c r="O4" s="147"/>
      <c r="P4" s="150"/>
    </row>
    <row r="5" spans="1:16" ht="22.5" customHeight="1">
      <c r="A5" s="125"/>
      <c r="B5" s="125"/>
      <c r="C5" s="154"/>
      <c r="D5" s="154"/>
      <c r="E5" s="154"/>
      <c r="F5" s="1" t="s">
        <v>41</v>
      </c>
      <c r="G5" s="1" t="s">
        <v>41</v>
      </c>
      <c r="H5" s="2" t="s">
        <v>58</v>
      </c>
      <c r="I5" s="17">
        <v>400</v>
      </c>
      <c r="J5" s="19">
        <v>0.5</v>
      </c>
      <c r="K5" s="15">
        <f t="shared" si="0"/>
        <v>200</v>
      </c>
      <c r="L5" s="16"/>
      <c r="M5" s="16"/>
      <c r="N5" s="148"/>
      <c r="O5" s="148"/>
      <c r="P5" s="151"/>
    </row>
    <row r="6" spans="1:16" ht="22.2">
      <c r="A6" s="40"/>
      <c r="B6" s="40" t="s">
        <v>102</v>
      </c>
      <c r="C6" s="53"/>
      <c r="D6" s="53"/>
      <c r="E6" s="53"/>
      <c r="F6" s="24"/>
      <c r="G6" s="24"/>
      <c r="H6" s="29"/>
      <c r="I6" s="54"/>
      <c r="J6" s="54"/>
      <c r="K6" s="52">
        <f>SUM(K2:K5)</f>
        <v>1300</v>
      </c>
      <c r="L6" s="54"/>
      <c r="M6" s="54"/>
      <c r="N6" s="55"/>
      <c r="O6" s="55"/>
      <c r="P6" s="56"/>
    </row>
    <row r="7" spans="1:16" ht="22.2">
      <c r="A7" s="123">
        <v>2</v>
      </c>
      <c r="B7" s="123" t="s">
        <v>2</v>
      </c>
      <c r="C7" s="152" t="s">
        <v>3</v>
      </c>
      <c r="D7" s="20">
        <v>4</v>
      </c>
      <c r="E7" s="152">
        <v>563101393</v>
      </c>
      <c r="F7" s="1" t="s">
        <v>51</v>
      </c>
      <c r="G7" s="1" t="s">
        <v>40</v>
      </c>
      <c r="H7" s="2" t="s">
        <v>52</v>
      </c>
      <c r="I7" s="15">
        <v>600</v>
      </c>
      <c r="J7" s="18">
        <v>1</v>
      </c>
      <c r="K7" s="15">
        <f>I7*J7</f>
        <v>600</v>
      </c>
      <c r="L7" s="15"/>
      <c r="M7" s="15"/>
      <c r="N7" s="146" t="s">
        <v>59</v>
      </c>
      <c r="O7" s="146" t="s">
        <v>60</v>
      </c>
      <c r="P7" s="149">
        <v>44994</v>
      </c>
    </row>
    <row r="8" spans="1:16" ht="22.2">
      <c r="A8" s="124"/>
      <c r="B8" s="124"/>
      <c r="C8" s="153"/>
      <c r="D8" s="21"/>
      <c r="E8" s="153"/>
      <c r="F8" s="1" t="s">
        <v>55</v>
      </c>
      <c r="G8" s="1" t="s">
        <v>39</v>
      </c>
      <c r="H8" s="2" t="s">
        <v>56</v>
      </c>
      <c r="I8" s="16">
        <v>600</v>
      </c>
      <c r="J8" s="19">
        <v>0.5</v>
      </c>
      <c r="K8" s="15">
        <f t="shared" ref="K8:K10" si="1">I8*J8</f>
        <v>300</v>
      </c>
      <c r="L8" s="16">
        <f>K11*50%</f>
        <v>650</v>
      </c>
      <c r="M8" s="16">
        <f>K11*70%</f>
        <v>909.99999999999989</v>
      </c>
      <c r="N8" s="147"/>
      <c r="O8" s="147"/>
      <c r="P8" s="150"/>
    </row>
    <row r="9" spans="1:16" ht="22.2">
      <c r="A9" s="124"/>
      <c r="B9" s="124"/>
      <c r="C9" s="153"/>
      <c r="D9" s="21"/>
      <c r="E9" s="153"/>
      <c r="F9" s="1" t="s">
        <v>57</v>
      </c>
      <c r="G9" s="1" t="s">
        <v>57</v>
      </c>
      <c r="H9" s="2" t="s">
        <v>58</v>
      </c>
      <c r="I9" s="16">
        <v>400</v>
      </c>
      <c r="J9" s="19">
        <v>0.5</v>
      </c>
      <c r="K9" s="15">
        <f t="shared" si="1"/>
        <v>200</v>
      </c>
      <c r="L9" s="16"/>
      <c r="M9" s="16"/>
      <c r="N9" s="147"/>
      <c r="O9" s="147"/>
      <c r="P9" s="150"/>
    </row>
    <row r="10" spans="1:16" ht="22.5" customHeight="1">
      <c r="A10" s="125"/>
      <c r="B10" s="125"/>
      <c r="C10" s="154"/>
      <c r="D10" s="22"/>
      <c r="E10" s="154"/>
      <c r="F10" s="1" t="s">
        <v>41</v>
      </c>
      <c r="G10" s="1" t="s">
        <v>41</v>
      </c>
      <c r="H10" s="2" t="s">
        <v>58</v>
      </c>
      <c r="I10" s="17">
        <v>400</v>
      </c>
      <c r="J10" s="19">
        <v>0.5</v>
      </c>
      <c r="K10" s="15">
        <f t="shared" si="1"/>
        <v>200</v>
      </c>
      <c r="L10" s="17"/>
      <c r="M10" s="17"/>
      <c r="N10" s="148"/>
      <c r="O10" s="148"/>
      <c r="P10" s="151"/>
    </row>
    <row r="11" spans="1:16" ht="22.5" customHeight="1">
      <c r="A11" s="39"/>
      <c r="B11" s="40" t="s">
        <v>102</v>
      </c>
      <c r="C11" s="41"/>
      <c r="D11" s="41"/>
      <c r="E11" s="41"/>
      <c r="F11" s="24"/>
      <c r="G11" s="24"/>
      <c r="H11" s="29"/>
      <c r="I11" s="42"/>
      <c r="J11" s="42"/>
      <c r="K11" s="51">
        <f>SUM(K7:K10)</f>
        <v>1300</v>
      </c>
      <c r="L11" s="42"/>
      <c r="M11" s="42"/>
      <c r="N11" s="43"/>
      <c r="O11" s="43"/>
      <c r="P11" s="44"/>
    </row>
    <row r="12" spans="1:16" ht="22.2">
      <c r="A12" s="133">
        <v>3</v>
      </c>
      <c r="B12" s="158" t="s">
        <v>4</v>
      </c>
      <c r="C12" s="134" t="s">
        <v>5</v>
      </c>
      <c r="D12" s="134">
        <v>5</v>
      </c>
      <c r="E12" s="134">
        <v>563123181</v>
      </c>
      <c r="F12" s="1" t="s">
        <v>55</v>
      </c>
      <c r="G12" s="1" t="s">
        <v>39</v>
      </c>
      <c r="H12" s="2" t="s">
        <v>61</v>
      </c>
      <c r="I12" s="4">
        <v>400</v>
      </c>
      <c r="J12" s="18">
        <v>1</v>
      </c>
      <c r="K12" s="4">
        <f>I12*J12</f>
        <v>400</v>
      </c>
      <c r="L12" s="104">
        <f>K17*50%</f>
        <v>400</v>
      </c>
      <c r="M12" s="104">
        <f>K17*70%</f>
        <v>560</v>
      </c>
      <c r="N12" s="131" t="s">
        <v>53</v>
      </c>
      <c r="O12" s="131" t="s">
        <v>54</v>
      </c>
      <c r="P12" s="132">
        <v>44783</v>
      </c>
    </row>
    <row r="13" spans="1:16" ht="22.2">
      <c r="A13" s="133"/>
      <c r="B13" s="159"/>
      <c r="C13" s="134"/>
      <c r="D13" s="134"/>
      <c r="E13" s="134"/>
      <c r="F13" s="1" t="s">
        <v>55</v>
      </c>
      <c r="G13" s="1" t="s">
        <v>62</v>
      </c>
      <c r="H13" s="2" t="s">
        <v>63</v>
      </c>
      <c r="I13" s="4">
        <v>400</v>
      </c>
      <c r="J13" s="19">
        <v>0</v>
      </c>
      <c r="K13" s="14">
        <f t="shared" ref="K13:K16" si="2">I13*J13</f>
        <v>0</v>
      </c>
      <c r="L13" s="105"/>
      <c r="M13" s="105"/>
      <c r="N13" s="131"/>
      <c r="O13" s="131"/>
      <c r="P13" s="132"/>
    </row>
    <row r="14" spans="1:16" ht="22.2">
      <c r="A14" s="133"/>
      <c r="B14" s="159"/>
      <c r="C14" s="134"/>
      <c r="D14" s="134"/>
      <c r="E14" s="134"/>
      <c r="F14" s="1" t="s">
        <v>51</v>
      </c>
      <c r="G14" s="1" t="s">
        <v>40</v>
      </c>
      <c r="H14" s="2" t="s">
        <v>64</v>
      </c>
      <c r="I14" s="4">
        <v>300</v>
      </c>
      <c r="J14" s="19">
        <v>0.5</v>
      </c>
      <c r="K14" s="14">
        <f t="shared" si="2"/>
        <v>150</v>
      </c>
      <c r="L14" s="105"/>
      <c r="M14" s="105"/>
      <c r="N14" s="131"/>
      <c r="O14" s="131"/>
      <c r="P14" s="132"/>
    </row>
    <row r="15" spans="1:16" ht="22.5" customHeight="1">
      <c r="A15" s="133"/>
      <c r="B15" s="159"/>
      <c r="C15" s="134"/>
      <c r="D15" s="134"/>
      <c r="E15" s="134"/>
      <c r="F15" s="1" t="s">
        <v>41</v>
      </c>
      <c r="G15" s="1" t="s">
        <v>41</v>
      </c>
      <c r="H15" s="2" t="s">
        <v>64</v>
      </c>
      <c r="I15" s="4">
        <v>300</v>
      </c>
      <c r="J15" s="19">
        <v>0.5</v>
      </c>
      <c r="K15" s="14">
        <f t="shared" si="2"/>
        <v>150</v>
      </c>
      <c r="L15" s="105"/>
      <c r="M15" s="105"/>
      <c r="N15" s="131"/>
      <c r="O15" s="131"/>
      <c r="P15" s="132"/>
    </row>
    <row r="16" spans="1:16" ht="22.2">
      <c r="A16" s="133"/>
      <c r="B16" s="160"/>
      <c r="C16" s="134"/>
      <c r="D16" s="134"/>
      <c r="E16" s="134"/>
      <c r="F16" s="1" t="s">
        <v>57</v>
      </c>
      <c r="G16" s="1" t="s">
        <v>57</v>
      </c>
      <c r="H16" s="2" t="s">
        <v>65</v>
      </c>
      <c r="I16" s="4">
        <v>200</v>
      </c>
      <c r="J16" s="19">
        <v>0.5</v>
      </c>
      <c r="K16" s="14">
        <f t="shared" si="2"/>
        <v>100</v>
      </c>
      <c r="L16" s="106"/>
      <c r="M16" s="106"/>
      <c r="N16" s="131"/>
      <c r="O16" s="131"/>
      <c r="P16" s="132"/>
    </row>
    <row r="17" spans="1:16" ht="22.2">
      <c r="A17" s="33"/>
      <c r="B17" s="34" t="s">
        <v>102</v>
      </c>
      <c r="C17" s="35"/>
      <c r="D17" s="36"/>
      <c r="E17" s="36"/>
      <c r="F17" s="24"/>
      <c r="G17" s="24"/>
      <c r="H17" s="29"/>
      <c r="I17" s="29"/>
      <c r="J17" s="29"/>
      <c r="K17" s="50">
        <f>SUM(K12:K16)</f>
        <v>800</v>
      </c>
      <c r="L17" s="29"/>
      <c r="M17" s="29"/>
      <c r="N17" s="37"/>
      <c r="O17" s="37"/>
      <c r="P17" s="38"/>
    </row>
    <row r="18" spans="1:16" ht="22.2">
      <c r="A18" s="109">
        <v>4</v>
      </c>
      <c r="B18" s="109" t="s">
        <v>6</v>
      </c>
      <c r="C18" s="155" t="s">
        <v>7</v>
      </c>
      <c r="D18" s="110">
        <v>6</v>
      </c>
      <c r="E18" s="110">
        <v>563101831</v>
      </c>
      <c r="F18" s="1" t="s">
        <v>51</v>
      </c>
      <c r="G18" s="1" t="s">
        <v>40</v>
      </c>
      <c r="H18" s="2" t="s">
        <v>64</v>
      </c>
      <c r="I18" s="4">
        <v>300</v>
      </c>
      <c r="J18" s="18">
        <v>1</v>
      </c>
      <c r="K18" s="4">
        <f>I18*J18</f>
        <v>300</v>
      </c>
      <c r="L18" s="104">
        <f>K22*50%</f>
        <v>350</v>
      </c>
      <c r="M18" s="104">
        <f>K22*70%</f>
        <v>489.99999999999994</v>
      </c>
      <c r="N18" s="161">
        <v>2023</v>
      </c>
      <c r="O18" s="164" t="s">
        <v>66</v>
      </c>
      <c r="P18" s="167">
        <v>45147</v>
      </c>
    </row>
    <row r="19" spans="1:16" ht="22.2">
      <c r="A19" s="109"/>
      <c r="B19" s="109"/>
      <c r="C19" s="156"/>
      <c r="D19" s="110"/>
      <c r="E19" s="110"/>
      <c r="F19" s="1" t="s">
        <v>55</v>
      </c>
      <c r="G19" s="1" t="s">
        <v>39</v>
      </c>
      <c r="H19" s="2" t="s">
        <v>64</v>
      </c>
      <c r="I19" s="4">
        <v>300</v>
      </c>
      <c r="J19" s="19">
        <v>0.5</v>
      </c>
      <c r="K19" s="4">
        <f>I19*J19</f>
        <v>150</v>
      </c>
      <c r="L19" s="105"/>
      <c r="M19" s="105"/>
      <c r="N19" s="162"/>
      <c r="O19" s="165"/>
      <c r="P19" s="168"/>
    </row>
    <row r="20" spans="1:16" ht="22.2">
      <c r="A20" s="109"/>
      <c r="B20" s="109"/>
      <c r="C20" s="156"/>
      <c r="D20" s="110"/>
      <c r="E20" s="110"/>
      <c r="F20" s="1" t="s">
        <v>57</v>
      </c>
      <c r="G20" s="1" t="s">
        <v>57</v>
      </c>
      <c r="H20" s="2" t="s">
        <v>65</v>
      </c>
      <c r="I20" s="4">
        <v>200</v>
      </c>
      <c r="J20" s="19">
        <v>0.5</v>
      </c>
      <c r="K20" s="4">
        <f>I20*J20</f>
        <v>100</v>
      </c>
      <c r="L20" s="105"/>
      <c r="M20" s="105"/>
      <c r="N20" s="162"/>
      <c r="O20" s="165"/>
      <c r="P20" s="168"/>
    </row>
    <row r="21" spans="1:16" ht="22.2">
      <c r="A21" s="109"/>
      <c r="B21" s="109"/>
      <c r="C21" s="157"/>
      <c r="D21" s="110"/>
      <c r="E21" s="110"/>
      <c r="F21" s="1" t="s">
        <v>41</v>
      </c>
      <c r="G21" s="1" t="s">
        <v>41</v>
      </c>
      <c r="H21" s="2" t="s">
        <v>64</v>
      </c>
      <c r="I21" s="4">
        <v>300</v>
      </c>
      <c r="J21" s="19">
        <v>0.5</v>
      </c>
      <c r="K21" s="4">
        <f>I21*J21</f>
        <v>150</v>
      </c>
      <c r="L21" s="106"/>
      <c r="M21" s="106"/>
      <c r="N21" s="163"/>
      <c r="O21" s="166"/>
      <c r="P21" s="169"/>
    </row>
    <row r="22" spans="1:16" ht="22.2">
      <c r="A22" s="24"/>
      <c r="B22" s="24" t="s">
        <v>102</v>
      </c>
      <c r="C22" s="27"/>
      <c r="D22" s="28"/>
      <c r="E22" s="28"/>
      <c r="F22" s="24"/>
      <c r="G22" s="24"/>
      <c r="H22" s="29"/>
      <c r="I22" s="29"/>
      <c r="J22" s="29"/>
      <c r="K22" s="50">
        <f>SUM(K18:K21)</f>
        <v>700</v>
      </c>
      <c r="L22" s="29"/>
      <c r="M22" s="29"/>
      <c r="N22" s="30"/>
      <c r="O22" s="31"/>
      <c r="P22" s="32"/>
    </row>
    <row r="23" spans="1:16" ht="22.2">
      <c r="A23" s="144">
        <v>5</v>
      </c>
      <c r="B23" s="145" t="s">
        <v>8</v>
      </c>
      <c r="C23" s="145" t="s">
        <v>9</v>
      </c>
      <c r="D23" s="111">
        <v>7</v>
      </c>
      <c r="E23" s="111"/>
      <c r="F23" s="1" t="s">
        <v>67</v>
      </c>
      <c r="G23" s="1" t="s">
        <v>67</v>
      </c>
      <c r="H23" s="1" t="s">
        <v>68</v>
      </c>
      <c r="I23" s="3">
        <v>50</v>
      </c>
      <c r="J23" s="18">
        <v>1</v>
      </c>
      <c r="K23" s="3">
        <f>I23*J23</f>
        <v>50</v>
      </c>
      <c r="L23" s="101">
        <f>K25*50%</f>
        <v>37.5</v>
      </c>
      <c r="M23" s="101">
        <f>K25*70%</f>
        <v>52.5</v>
      </c>
      <c r="N23" s="111">
        <v>2022</v>
      </c>
      <c r="O23" s="142" t="s">
        <v>69</v>
      </c>
      <c r="P23" s="143">
        <v>44783</v>
      </c>
    </row>
    <row r="24" spans="1:16" ht="29.25" customHeight="1">
      <c r="A24" s="144"/>
      <c r="B24" s="145"/>
      <c r="C24" s="145"/>
      <c r="D24" s="111"/>
      <c r="E24" s="111"/>
      <c r="F24" s="1" t="s">
        <v>40</v>
      </c>
      <c r="G24" s="1" t="s">
        <v>40</v>
      </c>
      <c r="H24" s="1" t="s">
        <v>68</v>
      </c>
      <c r="I24" s="3">
        <v>50</v>
      </c>
      <c r="J24" s="19">
        <v>0.5</v>
      </c>
      <c r="K24" s="3">
        <f>I24*J24</f>
        <v>25</v>
      </c>
      <c r="L24" s="103"/>
      <c r="M24" s="103"/>
      <c r="N24" s="111"/>
      <c r="O24" s="142"/>
      <c r="P24" s="143"/>
    </row>
    <row r="25" spans="1:16" ht="22.2">
      <c r="A25" s="14"/>
      <c r="B25" s="23" t="s">
        <v>102</v>
      </c>
      <c r="C25" s="23"/>
      <c r="D25" s="23"/>
      <c r="E25" s="23"/>
      <c r="F25" s="24"/>
      <c r="G25" s="24"/>
      <c r="H25" s="24"/>
      <c r="I25" s="24"/>
      <c r="J25" s="24"/>
      <c r="K25" s="49">
        <f>SUM(K23:K24)</f>
        <v>75</v>
      </c>
      <c r="L25" s="24"/>
      <c r="M25" s="24"/>
      <c r="N25" s="23"/>
      <c r="O25" s="25"/>
      <c r="P25" s="26"/>
    </row>
    <row r="26" spans="1:16" ht="22.2">
      <c r="A26" s="109">
        <v>6</v>
      </c>
      <c r="B26" s="109" t="s">
        <v>10</v>
      </c>
      <c r="C26" s="110" t="s">
        <v>11</v>
      </c>
      <c r="D26" s="110">
        <v>10</v>
      </c>
      <c r="E26" s="110">
        <v>563101872</v>
      </c>
      <c r="F26" s="1" t="s">
        <v>51</v>
      </c>
      <c r="G26" s="1" t="s">
        <v>40</v>
      </c>
      <c r="H26" s="1" t="s">
        <v>61</v>
      </c>
      <c r="I26" s="3">
        <v>400</v>
      </c>
      <c r="J26" s="18">
        <v>1</v>
      </c>
      <c r="K26" s="3">
        <f>I26*J26</f>
        <v>400</v>
      </c>
      <c r="L26" s="101">
        <f>K31*50%</f>
        <v>575</v>
      </c>
      <c r="M26" s="101">
        <f>K31*70%</f>
        <v>805</v>
      </c>
      <c r="N26" s="112" t="s">
        <v>59</v>
      </c>
      <c r="O26" s="112" t="s">
        <v>60</v>
      </c>
      <c r="P26" s="108">
        <v>44994</v>
      </c>
    </row>
    <row r="27" spans="1:16" ht="22.2">
      <c r="A27" s="109"/>
      <c r="B27" s="109"/>
      <c r="C27" s="110"/>
      <c r="D27" s="110"/>
      <c r="E27" s="110"/>
      <c r="F27" s="1" t="s">
        <v>55</v>
      </c>
      <c r="G27" s="1" t="s">
        <v>39</v>
      </c>
      <c r="H27" s="1" t="s">
        <v>61</v>
      </c>
      <c r="I27" s="3">
        <v>400</v>
      </c>
      <c r="J27" s="19">
        <v>0.5</v>
      </c>
      <c r="K27" s="3">
        <f>I27*J27</f>
        <v>200</v>
      </c>
      <c r="L27" s="102"/>
      <c r="M27" s="102"/>
      <c r="N27" s="112"/>
      <c r="O27" s="112"/>
      <c r="P27" s="108"/>
    </row>
    <row r="28" spans="1:16" ht="22.2">
      <c r="A28" s="109"/>
      <c r="B28" s="109"/>
      <c r="C28" s="110"/>
      <c r="D28" s="110"/>
      <c r="E28" s="110"/>
      <c r="F28" s="1" t="s">
        <v>57</v>
      </c>
      <c r="G28" s="1" t="s">
        <v>57</v>
      </c>
      <c r="H28" s="1" t="s">
        <v>70</v>
      </c>
      <c r="I28" s="3">
        <v>400</v>
      </c>
      <c r="J28" s="19">
        <v>0.5</v>
      </c>
      <c r="K28" s="3">
        <f>I28*J28</f>
        <v>200</v>
      </c>
      <c r="L28" s="102"/>
      <c r="M28" s="102"/>
      <c r="N28" s="112"/>
      <c r="O28" s="112"/>
      <c r="P28" s="108"/>
    </row>
    <row r="29" spans="1:16" ht="22.2">
      <c r="A29" s="109"/>
      <c r="B29" s="109"/>
      <c r="C29" s="110"/>
      <c r="D29" s="110"/>
      <c r="E29" s="110"/>
      <c r="F29" s="1" t="s">
        <v>41</v>
      </c>
      <c r="G29" s="1" t="s">
        <v>41</v>
      </c>
      <c r="H29" s="1" t="s">
        <v>58</v>
      </c>
      <c r="I29" s="3">
        <v>400</v>
      </c>
      <c r="J29" s="19">
        <v>0.5</v>
      </c>
      <c r="K29" s="3">
        <f>I29*J29</f>
        <v>200</v>
      </c>
      <c r="L29" s="102"/>
      <c r="M29" s="102"/>
      <c r="N29" s="112"/>
      <c r="O29" s="112"/>
      <c r="P29" s="108"/>
    </row>
    <row r="30" spans="1:16" ht="22.2">
      <c r="A30" s="109"/>
      <c r="B30" s="109"/>
      <c r="C30" s="110"/>
      <c r="D30" s="110"/>
      <c r="E30" s="110"/>
      <c r="F30" s="1" t="s">
        <v>71</v>
      </c>
      <c r="G30" s="1" t="s">
        <v>72</v>
      </c>
      <c r="H30" s="5" t="s">
        <v>64</v>
      </c>
      <c r="I30" s="5">
        <v>300</v>
      </c>
      <c r="J30" s="19">
        <v>0.5</v>
      </c>
      <c r="K30" s="5">
        <f>I30*J30</f>
        <v>150</v>
      </c>
      <c r="L30" s="103"/>
      <c r="M30" s="103"/>
      <c r="N30" s="112"/>
      <c r="O30" s="112"/>
      <c r="P30" s="108"/>
    </row>
    <row r="31" spans="1:16" ht="21.6">
      <c r="A31" s="24"/>
      <c r="B31" s="24" t="s">
        <v>102</v>
      </c>
      <c r="C31" s="28"/>
      <c r="D31" s="28"/>
      <c r="E31" s="28"/>
      <c r="F31" s="24"/>
      <c r="G31" s="24"/>
      <c r="H31" s="45"/>
      <c r="I31" s="45"/>
      <c r="J31" s="45"/>
      <c r="K31" s="48">
        <f>SUM(K26:K30)</f>
        <v>1150</v>
      </c>
      <c r="L31" s="45"/>
      <c r="M31" s="45"/>
      <c r="N31" s="46"/>
      <c r="O31" s="46"/>
      <c r="P31" s="47"/>
    </row>
    <row r="32" spans="1:16" ht="21" customHeight="1">
      <c r="A32" s="133">
        <v>7</v>
      </c>
      <c r="B32" s="133" t="s">
        <v>12</v>
      </c>
      <c r="C32" s="134" t="s">
        <v>13</v>
      </c>
      <c r="D32" s="134">
        <v>12</v>
      </c>
      <c r="E32" s="134"/>
      <c r="F32" s="1" t="s">
        <v>55</v>
      </c>
      <c r="G32" s="1" t="s">
        <v>67</v>
      </c>
      <c r="H32" s="2" t="s">
        <v>64</v>
      </c>
      <c r="I32" s="4">
        <v>300</v>
      </c>
      <c r="J32" s="18">
        <v>0</v>
      </c>
      <c r="K32" s="4">
        <f>I32*J32</f>
        <v>0</v>
      </c>
      <c r="L32" s="104">
        <f>K35*50%</f>
        <v>275</v>
      </c>
      <c r="M32" s="104">
        <f>K35*70%</f>
        <v>385</v>
      </c>
      <c r="N32" s="111">
        <v>2015</v>
      </c>
      <c r="O32" s="131" t="s">
        <v>73</v>
      </c>
      <c r="P32" s="132" t="s">
        <v>74</v>
      </c>
    </row>
    <row r="33" spans="1:16" ht="43.2">
      <c r="A33" s="133"/>
      <c r="B33" s="133"/>
      <c r="C33" s="134"/>
      <c r="D33" s="134"/>
      <c r="E33" s="134"/>
      <c r="F33" s="1" t="s">
        <v>55</v>
      </c>
      <c r="G33" s="1" t="s">
        <v>75</v>
      </c>
      <c r="H33" s="2" t="s">
        <v>58</v>
      </c>
      <c r="I33" s="4">
        <v>400</v>
      </c>
      <c r="J33" s="19">
        <v>1</v>
      </c>
      <c r="K33" s="4">
        <f>I33*J33</f>
        <v>400</v>
      </c>
      <c r="L33" s="105"/>
      <c r="M33" s="105"/>
      <c r="N33" s="111"/>
      <c r="O33" s="131"/>
      <c r="P33" s="132"/>
    </row>
    <row r="34" spans="1:16" ht="22.2">
      <c r="A34" s="133"/>
      <c r="B34" s="133"/>
      <c r="C34" s="134"/>
      <c r="D34" s="134"/>
      <c r="E34" s="134"/>
      <c r="F34" s="1" t="s">
        <v>57</v>
      </c>
      <c r="G34" s="1" t="s">
        <v>57</v>
      </c>
      <c r="H34" s="1" t="s">
        <v>64</v>
      </c>
      <c r="I34" s="3">
        <v>300</v>
      </c>
      <c r="J34" s="19">
        <v>0.5</v>
      </c>
      <c r="K34" s="3">
        <f>I34*J34</f>
        <v>150</v>
      </c>
      <c r="L34" s="106"/>
      <c r="M34" s="106"/>
      <c r="N34" s="111"/>
      <c r="O34" s="131"/>
      <c r="P34" s="132"/>
    </row>
    <row r="35" spans="1:16" ht="22.2">
      <c r="A35" s="33"/>
      <c r="B35" s="33" t="s">
        <v>102</v>
      </c>
      <c r="C35" s="36"/>
      <c r="D35" s="36"/>
      <c r="E35" s="36"/>
      <c r="F35" s="24"/>
      <c r="G35" s="24"/>
      <c r="H35" s="24"/>
      <c r="I35" s="24"/>
      <c r="J35" s="24"/>
      <c r="K35" s="49">
        <f>SUM(K32:K34)</f>
        <v>550</v>
      </c>
      <c r="L35" s="24"/>
      <c r="M35" s="24"/>
      <c r="N35" s="23"/>
      <c r="O35" s="37"/>
      <c r="P35" s="38"/>
    </row>
    <row r="36" spans="1:16" ht="22.2">
      <c r="A36" s="122">
        <v>8</v>
      </c>
      <c r="B36" s="122" t="s">
        <v>14</v>
      </c>
      <c r="C36" s="126" t="s">
        <v>15</v>
      </c>
      <c r="D36" s="126">
        <v>14</v>
      </c>
      <c r="E36" s="126">
        <v>563121144</v>
      </c>
      <c r="F36" s="1" t="s">
        <v>51</v>
      </c>
      <c r="G36" s="1" t="s">
        <v>40</v>
      </c>
      <c r="H36" s="2" t="s">
        <v>76</v>
      </c>
      <c r="I36" s="4">
        <v>100</v>
      </c>
      <c r="J36" s="18">
        <v>0.5</v>
      </c>
      <c r="K36" s="4">
        <f>I36*J36</f>
        <v>50</v>
      </c>
      <c r="L36" s="104">
        <f>K40*50%</f>
        <v>225</v>
      </c>
      <c r="M36" s="104">
        <f>K40*70%</f>
        <v>315</v>
      </c>
      <c r="N36" s="111">
        <v>2023</v>
      </c>
      <c r="O36" s="120" t="s">
        <v>66</v>
      </c>
      <c r="P36" s="121">
        <v>45147</v>
      </c>
    </row>
    <row r="37" spans="1:16" ht="22.2">
      <c r="A37" s="122"/>
      <c r="B37" s="122"/>
      <c r="C37" s="126"/>
      <c r="D37" s="126"/>
      <c r="E37" s="126"/>
      <c r="F37" s="6" t="s">
        <v>55</v>
      </c>
      <c r="G37" s="6" t="s">
        <v>39</v>
      </c>
      <c r="H37" s="6" t="s">
        <v>64</v>
      </c>
      <c r="I37" s="6">
        <v>300</v>
      </c>
      <c r="J37" s="19">
        <v>1</v>
      </c>
      <c r="K37" s="6">
        <f>I37*J37</f>
        <v>300</v>
      </c>
      <c r="L37" s="105"/>
      <c r="M37" s="105"/>
      <c r="N37" s="111"/>
      <c r="O37" s="120"/>
      <c r="P37" s="121"/>
    </row>
    <row r="38" spans="1:16" ht="22.2">
      <c r="A38" s="122"/>
      <c r="B38" s="122"/>
      <c r="C38" s="126"/>
      <c r="D38" s="126"/>
      <c r="E38" s="126"/>
      <c r="F38" s="1" t="s">
        <v>55</v>
      </c>
      <c r="G38" s="1" t="s">
        <v>62</v>
      </c>
      <c r="H38" s="2" t="s">
        <v>64</v>
      </c>
      <c r="I38" s="4">
        <v>300</v>
      </c>
      <c r="J38" s="19">
        <v>0</v>
      </c>
      <c r="K38" s="4">
        <f>I38*J38</f>
        <v>0</v>
      </c>
      <c r="L38" s="105"/>
      <c r="M38" s="105"/>
      <c r="N38" s="111"/>
      <c r="O38" s="120"/>
      <c r="P38" s="121"/>
    </row>
    <row r="39" spans="1:16" ht="22.2">
      <c r="A39" s="122"/>
      <c r="B39" s="122"/>
      <c r="C39" s="126"/>
      <c r="D39" s="126"/>
      <c r="E39" s="126"/>
      <c r="F39" s="1" t="s">
        <v>41</v>
      </c>
      <c r="G39" s="1" t="s">
        <v>41</v>
      </c>
      <c r="H39" s="6" t="s">
        <v>65</v>
      </c>
      <c r="I39" s="6">
        <v>200</v>
      </c>
      <c r="J39" s="19">
        <v>0.5</v>
      </c>
      <c r="K39" s="6">
        <f>I39*J39</f>
        <v>100</v>
      </c>
      <c r="L39" s="106"/>
      <c r="M39" s="106"/>
      <c r="N39" s="111"/>
      <c r="O39" s="120"/>
      <c r="P39" s="121"/>
    </row>
    <row r="40" spans="1:16" ht="22.2">
      <c r="A40" s="64"/>
      <c r="B40" s="64" t="s">
        <v>102</v>
      </c>
      <c r="C40" s="65"/>
      <c r="D40" s="65"/>
      <c r="E40" s="65"/>
      <c r="F40" s="24"/>
      <c r="G40" s="24"/>
      <c r="H40" s="66"/>
      <c r="I40" s="66"/>
      <c r="J40" s="67"/>
      <c r="K40" s="57">
        <f>SUM(K36:K39)</f>
        <v>450</v>
      </c>
      <c r="L40" s="66"/>
      <c r="M40" s="66"/>
      <c r="N40" s="23"/>
      <c r="O40" s="68"/>
      <c r="P40" s="69"/>
    </row>
    <row r="41" spans="1:16" ht="43.2">
      <c r="A41" s="95">
        <v>9</v>
      </c>
      <c r="B41" s="95" t="s">
        <v>16</v>
      </c>
      <c r="C41" s="96" t="s">
        <v>17</v>
      </c>
      <c r="D41" s="96">
        <v>17</v>
      </c>
      <c r="E41" s="96">
        <v>563123504</v>
      </c>
      <c r="F41" s="1" t="s">
        <v>55</v>
      </c>
      <c r="G41" s="1" t="s">
        <v>77</v>
      </c>
      <c r="H41" s="2" t="s">
        <v>64</v>
      </c>
      <c r="I41" s="4">
        <v>300</v>
      </c>
      <c r="J41" s="18">
        <v>0.5</v>
      </c>
      <c r="K41" s="4">
        <f>I41*J41</f>
        <v>150</v>
      </c>
      <c r="L41" s="104">
        <f>K43*50%</f>
        <v>275</v>
      </c>
      <c r="M41" s="104">
        <f>K43*70%</f>
        <v>385</v>
      </c>
      <c r="N41" s="93" t="s">
        <v>78</v>
      </c>
      <c r="O41" s="93" t="s">
        <v>79</v>
      </c>
      <c r="P41" s="94">
        <v>44167</v>
      </c>
    </row>
    <row r="42" spans="1:16" ht="22.2">
      <c r="A42" s="95"/>
      <c r="B42" s="95"/>
      <c r="C42" s="96"/>
      <c r="D42" s="96"/>
      <c r="E42" s="96"/>
      <c r="F42" s="1" t="s">
        <v>57</v>
      </c>
      <c r="G42" s="1" t="s">
        <v>80</v>
      </c>
      <c r="H42" s="2" t="s">
        <v>58</v>
      </c>
      <c r="I42" s="4">
        <v>400</v>
      </c>
      <c r="J42" s="19">
        <v>1</v>
      </c>
      <c r="K42" s="4">
        <f>I42*J42</f>
        <v>400</v>
      </c>
      <c r="L42" s="106"/>
      <c r="M42" s="106"/>
      <c r="N42" s="93"/>
      <c r="O42" s="93"/>
      <c r="P42" s="94"/>
    </row>
    <row r="43" spans="1:16" ht="22.2">
      <c r="A43" s="70"/>
      <c r="B43" s="70" t="s">
        <v>102</v>
      </c>
      <c r="C43" s="71"/>
      <c r="D43" s="71"/>
      <c r="E43" s="71"/>
      <c r="F43" s="24"/>
      <c r="G43" s="24"/>
      <c r="H43" s="29"/>
      <c r="I43" s="29"/>
      <c r="J43" s="29"/>
      <c r="K43" s="50">
        <f>SUM(K41:K42)</f>
        <v>550</v>
      </c>
      <c r="L43" s="29"/>
      <c r="M43" s="29"/>
      <c r="N43" s="72"/>
      <c r="O43" s="72"/>
      <c r="P43" s="73"/>
    </row>
    <row r="44" spans="1:16" ht="22.2">
      <c r="A44" s="122">
        <v>10</v>
      </c>
      <c r="B44" s="122" t="s">
        <v>18</v>
      </c>
      <c r="C44" s="126" t="s">
        <v>19</v>
      </c>
      <c r="D44" s="126">
        <v>18</v>
      </c>
      <c r="E44" s="126">
        <v>563100775</v>
      </c>
      <c r="F44" s="1" t="s">
        <v>51</v>
      </c>
      <c r="G44" s="1" t="s">
        <v>40</v>
      </c>
      <c r="H44" s="1" t="s">
        <v>61</v>
      </c>
      <c r="I44" s="3">
        <v>400</v>
      </c>
      <c r="J44" s="18">
        <v>0.5</v>
      </c>
      <c r="K44" s="3">
        <f>I44*J44</f>
        <v>200</v>
      </c>
      <c r="L44" s="104">
        <f>K49*50%</f>
        <v>600</v>
      </c>
      <c r="M44" s="104">
        <f>K49*70%</f>
        <v>840</v>
      </c>
      <c r="N44" s="120" t="s">
        <v>81</v>
      </c>
      <c r="O44" s="120" t="s">
        <v>82</v>
      </c>
      <c r="P44" s="121">
        <v>42879</v>
      </c>
    </row>
    <row r="45" spans="1:16" ht="22.2">
      <c r="A45" s="122"/>
      <c r="B45" s="122"/>
      <c r="C45" s="126"/>
      <c r="D45" s="126"/>
      <c r="E45" s="126"/>
      <c r="F45" s="1" t="s">
        <v>55</v>
      </c>
      <c r="G45" s="1" t="s">
        <v>67</v>
      </c>
      <c r="H45" s="1" t="s">
        <v>52</v>
      </c>
      <c r="I45" s="3">
        <v>600</v>
      </c>
      <c r="J45" s="19">
        <v>1</v>
      </c>
      <c r="K45" s="3">
        <f>I45*J45</f>
        <v>600</v>
      </c>
      <c r="L45" s="105"/>
      <c r="M45" s="105"/>
      <c r="N45" s="120"/>
      <c r="O45" s="120"/>
      <c r="P45" s="121"/>
    </row>
    <row r="46" spans="1:16" ht="22.2">
      <c r="A46" s="122"/>
      <c r="B46" s="122"/>
      <c r="C46" s="126"/>
      <c r="D46" s="126"/>
      <c r="E46" s="126"/>
      <c r="F46" s="1" t="s">
        <v>57</v>
      </c>
      <c r="G46" s="1" t="s">
        <v>57</v>
      </c>
      <c r="H46" s="2" t="s">
        <v>64</v>
      </c>
      <c r="I46" s="4">
        <v>300</v>
      </c>
      <c r="J46" s="19">
        <v>0.5</v>
      </c>
      <c r="K46" s="4">
        <f>I46*J46</f>
        <v>150</v>
      </c>
      <c r="L46" s="105"/>
      <c r="M46" s="105"/>
      <c r="N46" s="120"/>
      <c r="O46" s="120"/>
      <c r="P46" s="121"/>
    </row>
    <row r="47" spans="1:16" ht="22.2">
      <c r="A47" s="122"/>
      <c r="B47" s="122"/>
      <c r="C47" s="126"/>
      <c r="D47" s="126"/>
      <c r="E47" s="126"/>
      <c r="F47" s="1" t="s">
        <v>41</v>
      </c>
      <c r="G47" s="1" t="s">
        <v>41</v>
      </c>
      <c r="H47" s="1" t="s">
        <v>64</v>
      </c>
      <c r="I47" s="3">
        <v>300</v>
      </c>
      <c r="J47" s="19">
        <v>0.5</v>
      </c>
      <c r="K47" s="3">
        <f>I47*J47</f>
        <v>150</v>
      </c>
      <c r="L47" s="105"/>
      <c r="M47" s="105"/>
      <c r="N47" s="120"/>
      <c r="O47" s="120"/>
      <c r="P47" s="121"/>
    </row>
    <row r="48" spans="1:16" ht="22.2">
      <c r="A48" s="122"/>
      <c r="B48" s="122"/>
      <c r="C48" s="126"/>
      <c r="D48" s="126"/>
      <c r="E48" s="126"/>
      <c r="F48" s="1" t="s">
        <v>83</v>
      </c>
      <c r="G48" s="1" t="s">
        <v>42</v>
      </c>
      <c r="H48" s="1" t="s">
        <v>65</v>
      </c>
      <c r="I48" s="3">
        <v>200</v>
      </c>
      <c r="J48" s="19">
        <v>0.5</v>
      </c>
      <c r="K48" s="3">
        <f>I48*J48</f>
        <v>100</v>
      </c>
      <c r="L48" s="106"/>
      <c r="M48" s="106"/>
      <c r="N48" s="120"/>
      <c r="O48" s="120"/>
      <c r="P48" s="121"/>
    </row>
    <row r="49" spans="1:16" ht="21.6">
      <c r="A49" s="64"/>
      <c r="B49" s="64" t="s">
        <v>102</v>
      </c>
      <c r="C49" s="65"/>
      <c r="D49" s="65"/>
      <c r="E49" s="65"/>
      <c r="F49" s="24"/>
      <c r="G49" s="24"/>
      <c r="H49" s="24"/>
      <c r="I49" s="24"/>
      <c r="J49" s="24"/>
      <c r="K49" s="49">
        <f>SUM(K44:K48)</f>
        <v>1200</v>
      </c>
      <c r="L49" s="24"/>
      <c r="M49" s="24"/>
      <c r="N49" s="68"/>
      <c r="O49" s="68"/>
      <c r="P49" s="69"/>
    </row>
    <row r="50" spans="1:16" ht="22.2">
      <c r="A50" s="122">
        <v>11</v>
      </c>
      <c r="B50" s="122" t="s">
        <v>20</v>
      </c>
      <c r="C50" s="126" t="s">
        <v>21</v>
      </c>
      <c r="D50" s="126">
        <v>19</v>
      </c>
      <c r="E50" s="126">
        <v>563103639</v>
      </c>
      <c r="F50" s="1" t="s">
        <v>51</v>
      </c>
      <c r="G50" s="1" t="s">
        <v>40</v>
      </c>
      <c r="H50" s="1" t="s">
        <v>64</v>
      </c>
      <c r="I50" s="3">
        <v>300</v>
      </c>
      <c r="J50" s="18">
        <v>1</v>
      </c>
      <c r="K50" s="3">
        <f>I50*J50</f>
        <v>300</v>
      </c>
      <c r="L50" s="139">
        <f>K53*50%</f>
        <v>300</v>
      </c>
      <c r="M50" s="139">
        <f>K53*70%</f>
        <v>420</v>
      </c>
      <c r="N50" s="112" t="s">
        <v>59</v>
      </c>
      <c r="O50" s="112" t="s">
        <v>66</v>
      </c>
      <c r="P50" s="113">
        <v>45147</v>
      </c>
    </row>
    <row r="51" spans="1:16" ht="22.2">
      <c r="A51" s="122"/>
      <c r="B51" s="122"/>
      <c r="C51" s="126"/>
      <c r="D51" s="126"/>
      <c r="E51" s="126"/>
      <c r="F51" s="1" t="s">
        <v>55</v>
      </c>
      <c r="G51" s="1" t="s">
        <v>39</v>
      </c>
      <c r="H51" s="5" t="s">
        <v>64</v>
      </c>
      <c r="I51" s="5">
        <v>300</v>
      </c>
      <c r="J51" s="19">
        <v>0.5</v>
      </c>
      <c r="K51" s="5">
        <f>I51*J51</f>
        <v>150</v>
      </c>
      <c r="L51" s="140"/>
      <c r="M51" s="140"/>
      <c r="N51" s="112"/>
      <c r="O51" s="112"/>
      <c r="P51" s="113"/>
    </row>
    <row r="52" spans="1:16" ht="22.2">
      <c r="A52" s="122"/>
      <c r="B52" s="122"/>
      <c r="C52" s="126"/>
      <c r="D52" s="126"/>
      <c r="E52" s="126"/>
      <c r="F52" s="1" t="s">
        <v>41</v>
      </c>
      <c r="G52" s="1" t="s">
        <v>41</v>
      </c>
      <c r="H52" s="2" t="s">
        <v>64</v>
      </c>
      <c r="I52" s="4">
        <v>300</v>
      </c>
      <c r="J52" s="19">
        <v>0.5</v>
      </c>
      <c r="K52" s="4">
        <f>I52*J52</f>
        <v>150</v>
      </c>
      <c r="L52" s="141"/>
      <c r="M52" s="141"/>
      <c r="N52" s="112"/>
      <c r="O52" s="112"/>
      <c r="P52" s="113"/>
    </row>
    <row r="53" spans="1:16" ht="22.2">
      <c r="A53" s="64"/>
      <c r="B53" s="64" t="s">
        <v>102</v>
      </c>
      <c r="C53" s="65"/>
      <c r="D53" s="65"/>
      <c r="E53" s="65"/>
      <c r="F53" s="24"/>
      <c r="G53" s="24"/>
      <c r="H53" s="29"/>
      <c r="I53" s="29"/>
      <c r="J53" s="29"/>
      <c r="K53" s="50">
        <f>SUM(K50:K52)</f>
        <v>600</v>
      </c>
      <c r="L53" s="29"/>
      <c r="M53" s="29"/>
      <c r="N53" s="46"/>
      <c r="O53" s="46"/>
      <c r="P53" s="74"/>
    </row>
    <row r="54" spans="1:16" ht="22.2">
      <c r="A54" s="137">
        <v>12</v>
      </c>
      <c r="B54" s="137" t="s">
        <v>22</v>
      </c>
      <c r="C54" s="138" t="s">
        <v>23</v>
      </c>
      <c r="D54" s="138">
        <v>24</v>
      </c>
      <c r="E54" s="138">
        <v>563148345</v>
      </c>
      <c r="F54" s="1" t="s">
        <v>55</v>
      </c>
      <c r="G54" s="1" t="s">
        <v>39</v>
      </c>
      <c r="H54" s="1" t="s">
        <v>56</v>
      </c>
      <c r="I54" s="3">
        <v>600</v>
      </c>
      <c r="J54" s="18">
        <v>1</v>
      </c>
      <c r="K54" s="3">
        <f>I54*J54</f>
        <v>600</v>
      </c>
      <c r="L54" s="101">
        <f>K59*50%</f>
        <v>487.5</v>
      </c>
      <c r="M54" s="101">
        <f>K59*70%</f>
        <v>682.5</v>
      </c>
      <c r="N54" s="110">
        <v>2022</v>
      </c>
      <c r="O54" s="135" t="s">
        <v>84</v>
      </c>
      <c r="P54" s="136">
        <v>44649</v>
      </c>
    </row>
    <row r="55" spans="1:16" ht="22.2">
      <c r="A55" s="137"/>
      <c r="B55" s="137"/>
      <c r="C55" s="138"/>
      <c r="D55" s="138"/>
      <c r="E55" s="138"/>
      <c r="F55" s="1" t="s">
        <v>71</v>
      </c>
      <c r="G55" s="1" t="s">
        <v>42</v>
      </c>
      <c r="H55" s="1" t="s">
        <v>65</v>
      </c>
      <c r="I55" s="3">
        <v>200</v>
      </c>
      <c r="J55" s="19">
        <v>0.5</v>
      </c>
      <c r="K55" s="3">
        <f>I55*J55</f>
        <v>100</v>
      </c>
      <c r="L55" s="102"/>
      <c r="M55" s="102"/>
      <c r="N55" s="110"/>
      <c r="O55" s="135"/>
      <c r="P55" s="136"/>
    </row>
    <row r="56" spans="1:16" ht="22.2">
      <c r="A56" s="137"/>
      <c r="B56" s="137"/>
      <c r="C56" s="138"/>
      <c r="D56" s="138"/>
      <c r="E56" s="138"/>
      <c r="F56" s="1" t="s">
        <v>51</v>
      </c>
      <c r="G56" s="1" t="s">
        <v>40</v>
      </c>
      <c r="H56" s="1" t="s">
        <v>65</v>
      </c>
      <c r="I56" s="3">
        <v>200</v>
      </c>
      <c r="J56" s="19">
        <v>0.5</v>
      </c>
      <c r="K56" s="3">
        <f>I56*J56</f>
        <v>100</v>
      </c>
      <c r="L56" s="102"/>
      <c r="M56" s="102"/>
      <c r="N56" s="110"/>
      <c r="O56" s="135"/>
      <c r="P56" s="136"/>
    </row>
    <row r="57" spans="1:16" ht="22.2">
      <c r="A57" s="137"/>
      <c r="B57" s="137"/>
      <c r="C57" s="138"/>
      <c r="D57" s="138"/>
      <c r="E57" s="138"/>
      <c r="F57" s="1" t="s">
        <v>85</v>
      </c>
      <c r="G57" s="1" t="s">
        <v>85</v>
      </c>
      <c r="H57" s="1" t="s">
        <v>64</v>
      </c>
      <c r="I57" s="3">
        <v>300</v>
      </c>
      <c r="J57" s="19">
        <v>0.5</v>
      </c>
      <c r="K57" s="3">
        <f>I57*J57</f>
        <v>150</v>
      </c>
      <c r="L57" s="102"/>
      <c r="M57" s="102"/>
      <c r="N57" s="110"/>
      <c r="O57" s="135"/>
      <c r="P57" s="136"/>
    </row>
    <row r="58" spans="1:16" ht="22.2">
      <c r="A58" s="137"/>
      <c r="B58" s="137"/>
      <c r="C58" s="138"/>
      <c r="D58" s="138"/>
      <c r="E58" s="138"/>
      <c r="F58" s="1" t="s">
        <v>86</v>
      </c>
      <c r="G58" s="1" t="s">
        <v>41</v>
      </c>
      <c r="H58" s="1" t="s">
        <v>68</v>
      </c>
      <c r="I58" s="3">
        <v>50</v>
      </c>
      <c r="J58" s="19">
        <v>0.5</v>
      </c>
      <c r="K58" s="3">
        <f>I58*J58</f>
        <v>25</v>
      </c>
      <c r="L58" s="103"/>
      <c r="M58" s="103"/>
      <c r="N58" s="110"/>
      <c r="O58" s="135"/>
      <c r="P58" s="136"/>
    </row>
    <row r="59" spans="1:16" ht="21.6">
      <c r="A59" s="75"/>
      <c r="B59" s="75" t="s">
        <v>102</v>
      </c>
      <c r="C59" s="76"/>
      <c r="D59" s="76"/>
      <c r="E59" s="76"/>
      <c r="F59" s="24"/>
      <c r="G59" s="24"/>
      <c r="H59" s="24"/>
      <c r="I59" s="24"/>
      <c r="J59" s="24"/>
      <c r="K59" s="49">
        <f>SUM(K54:K58)</f>
        <v>975</v>
      </c>
      <c r="L59" s="24"/>
      <c r="M59" s="24"/>
      <c r="N59" s="28"/>
      <c r="O59" s="77"/>
      <c r="P59" s="78"/>
    </row>
    <row r="60" spans="1:16" ht="22.2">
      <c r="A60" s="133">
        <v>13</v>
      </c>
      <c r="B60" s="133" t="s">
        <v>24</v>
      </c>
      <c r="C60" s="134" t="s">
        <v>25</v>
      </c>
      <c r="D60" s="134">
        <v>28</v>
      </c>
      <c r="E60" s="134">
        <v>563104249</v>
      </c>
      <c r="F60" s="1" t="s">
        <v>51</v>
      </c>
      <c r="G60" s="1" t="s">
        <v>40</v>
      </c>
      <c r="H60" s="2" t="s">
        <v>64</v>
      </c>
      <c r="I60" s="4">
        <v>300</v>
      </c>
      <c r="J60" s="18">
        <v>0.5</v>
      </c>
      <c r="K60" s="4">
        <f>I60*J60</f>
        <v>150</v>
      </c>
      <c r="L60" s="104">
        <f>K65*50%</f>
        <v>450</v>
      </c>
      <c r="M60" s="104">
        <f>K65*70%</f>
        <v>630</v>
      </c>
      <c r="N60" s="131" t="s">
        <v>59</v>
      </c>
      <c r="O60" s="131" t="s">
        <v>87</v>
      </c>
      <c r="P60" s="132">
        <v>45147</v>
      </c>
    </row>
    <row r="61" spans="1:16" ht="22.2">
      <c r="A61" s="133"/>
      <c r="B61" s="133"/>
      <c r="C61" s="134"/>
      <c r="D61" s="134"/>
      <c r="E61" s="134"/>
      <c r="F61" s="1" t="s">
        <v>55</v>
      </c>
      <c r="G61" s="1" t="s">
        <v>39</v>
      </c>
      <c r="H61" s="2" t="s">
        <v>64</v>
      </c>
      <c r="I61" s="4">
        <v>300</v>
      </c>
      <c r="J61" s="19">
        <v>0</v>
      </c>
      <c r="K61" s="4">
        <f>I61*J61</f>
        <v>0</v>
      </c>
      <c r="L61" s="105"/>
      <c r="M61" s="105"/>
      <c r="N61" s="131"/>
      <c r="O61" s="131"/>
      <c r="P61" s="132"/>
    </row>
    <row r="62" spans="1:16" ht="22.2">
      <c r="A62" s="133"/>
      <c r="B62" s="133"/>
      <c r="C62" s="134"/>
      <c r="D62" s="134"/>
      <c r="E62" s="134"/>
      <c r="F62" s="1" t="s">
        <v>57</v>
      </c>
      <c r="G62" s="1" t="s">
        <v>57</v>
      </c>
      <c r="H62" s="2" t="s">
        <v>64</v>
      </c>
      <c r="I62" s="4">
        <v>300</v>
      </c>
      <c r="J62" s="19">
        <v>0.5</v>
      </c>
      <c r="K62" s="4">
        <f>I62*J62</f>
        <v>150</v>
      </c>
      <c r="L62" s="105"/>
      <c r="M62" s="105"/>
      <c r="N62" s="131"/>
      <c r="O62" s="131"/>
      <c r="P62" s="132"/>
    </row>
    <row r="63" spans="1:16" ht="22.2">
      <c r="A63" s="133"/>
      <c r="B63" s="133"/>
      <c r="C63" s="134"/>
      <c r="D63" s="134"/>
      <c r="E63" s="134"/>
      <c r="F63" s="1" t="s">
        <v>55</v>
      </c>
      <c r="G63" s="1" t="s">
        <v>62</v>
      </c>
      <c r="H63" s="2" t="s">
        <v>58</v>
      </c>
      <c r="I63" s="4">
        <v>400</v>
      </c>
      <c r="J63" s="19">
        <v>1</v>
      </c>
      <c r="K63" s="4">
        <f>I63*J63</f>
        <v>400</v>
      </c>
      <c r="L63" s="105"/>
      <c r="M63" s="105"/>
      <c r="N63" s="131"/>
      <c r="O63" s="131"/>
      <c r="P63" s="132"/>
    </row>
    <row r="64" spans="1:16" ht="22.2">
      <c r="A64" s="133"/>
      <c r="B64" s="133"/>
      <c r="C64" s="134"/>
      <c r="D64" s="134"/>
      <c r="E64" s="134"/>
      <c r="F64" s="1" t="s">
        <v>41</v>
      </c>
      <c r="G64" s="1" t="s">
        <v>41</v>
      </c>
      <c r="H64" s="2" t="s">
        <v>58</v>
      </c>
      <c r="I64" s="4">
        <v>400</v>
      </c>
      <c r="J64" s="19">
        <v>0.5</v>
      </c>
      <c r="K64" s="4">
        <f>I64*J64</f>
        <v>200</v>
      </c>
      <c r="L64" s="106"/>
      <c r="M64" s="106"/>
      <c r="N64" s="131"/>
      <c r="O64" s="131"/>
      <c r="P64" s="132"/>
    </row>
    <row r="65" spans="1:16" ht="22.2">
      <c r="A65" s="33"/>
      <c r="B65" s="33" t="s">
        <v>102</v>
      </c>
      <c r="C65" s="36"/>
      <c r="D65" s="36"/>
      <c r="E65" s="36"/>
      <c r="F65" s="24"/>
      <c r="G65" s="24"/>
      <c r="H65" s="29"/>
      <c r="I65" s="29"/>
      <c r="J65" s="29"/>
      <c r="K65" s="50">
        <f>SUM(K60:K64)</f>
        <v>900</v>
      </c>
      <c r="L65" s="29"/>
      <c r="M65" s="29"/>
      <c r="N65" s="37"/>
      <c r="O65" s="37"/>
      <c r="P65" s="38"/>
    </row>
    <row r="66" spans="1:16" ht="22.2">
      <c r="A66" s="129">
        <v>14</v>
      </c>
      <c r="B66" s="129" t="s">
        <v>26</v>
      </c>
      <c r="C66" s="130" t="s">
        <v>27</v>
      </c>
      <c r="D66" s="130">
        <v>29</v>
      </c>
      <c r="E66" s="130">
        <v>563104488</v>
      </c>
      <c r="F66" s="1" t="s">
        <v>51</v>
      </c>
      <c r="G66" s="1" t="s">
        <v>40</v>
      </c>
      <c r="H66" s="5" t="s">
        <v>64</v>
      </c>
      <c r="I66" s="5">
        <v>300</v>
      </c>
      <c r="J66" s="18">
        <v>1</v>
      </c>
      <c r="K66" s="5">
        <f>I66*J66</f>
        <v>300</v>
      </c>
      <c r="L66" s="104">
        <f>K69*50%</f>
        <v>275</v>
      </c>
      <c r="M66" s="104">
        <f>K69*70%</f>
        <v>385</v>
      </c>
      <c r="N66" s="127" t="s">
        <v>53</v>
      </c>
      <c r="O66" s="127" t="s">
        <v>54</v>
      </c>
      <c r="P66" s="128">
        <v>44783</v>
      </c>
    </row>
    <row r="67" spans="1:16" ht="22.2">
      <c r="A67" s="129"/>
      <c r="B67" s="129"/>
      <c r="C67" s="130"/>
      <c r="D67" s="130"/>
      <c r="E67" s="130"/>
      <c r="F67" s="1" t="s">
        <v>88</v>
      </c>
      <c r="G67" s="1" t="s">
        <v>39</v>
      </c>
      <c r="H67" s="2" t="s">
        <v>64</v>
      </c>
      <c r="I67" s="4">
        <v>300</v>
      </c>
      <c r="J67" s="19">
        <v>0.5</v>
      </c>
      <c r="K67" s="4">
        <f>I67*J67</f>
        <v>150</v>
      </c>
      <c r="L67" s="105"/>
      <c r="M67" s="105"/>
      <c r="N67" s="127"/>
      <c r="O67" s="127"/>
      <c r="P67" s="128"/>
    </row>
    <row r="68" spans="1:16" ht="22.2">
      <c r="A68" s="129"/>
      <c r="B68" s="129"/>
      <c r="C68" s="130"/>
      <c r="D68" s="130"/>
      <c r="E68" s="130"/>
      <c r="F68" s="1" t="s">
        <v>41</v>
      </c>
      <c r="G68" s="1" t="s">
        <v>41</v>
      </c>
      <c r="H68" s="2" t="s">
        <v>65</v>
      </c>
      <c r="I68" s="4">
        <v>200</v>
      </c>
      <c r="J68" s="19">
        <v>0.5</v>
      </c>
      <c r="K68" s="4">
        <f>I68*J68</f>
        <v>100</v>
      </c>
      <c r="L68" s="106"/>
      <c r="M68" s="106"/>
      <c r="N68" s="127"/>
      <c r="O68" s="127"/>
      <c r="P68" s="128"/>
    </row>
    <row r="69" spans="1:16" ht="22.2">
      <c r="A69" s="83"/>
      <c r="B69" s="84" t="s">
        <v>102</v>
      </c>
      <c r="C69" s="85"/>
      <c r="D69" s="85"/>
      <c r="E69" s="85"/>
      <c r="F69" s="24"/>
      <c r="G69" s="24"/>
      <c r="H69" s="29"/>
      <c r="I69" s="29"/>
      <c r="J69" s="29"/>
      <c r="K69" s="50">
        <f>SUM(K66:K68)</f>
        <v>550</v>
      </c>
      <c r="L69" s="29"/>
      <c r="M69" s="29"/>
      <c r="N69" s="79"/>
      <c r="O69" s="79"/>
      <c r="P69" s="80"/>
    </row>
    <row r="70" spans="1:16" ht="22.2">
      <c r="A70" s="122">
        <v>15</v>
      </c>
      <c r="B70" s="123" t="s">
        <v>28</v>
      </c>
      <c r="C70" s="126" t="s">
        <v>29</v>
      </c>
      <c r="D70" s="126">
        <v>31</v>
      </c>
      <c r="E70" s="126">
        <v>563103548</v>
      </c>
      <c r="F70" s="1" t="s">
        <v>55</v>
      </c>
      <c r="G70" s="1" t="s">
        <v>39</v>
      </c>
      <c r="H70" s="1" t="s">
        <v>89</v>
      </c>
      <c r="I70" s="3">
        <v>400</v>
      </c>
      <c r="J70" s="18">
        <v>1</v>
      </c>
      <c r="K70" s="3">
        <f>I70*J70</f>
        <v>400</v>
      </c>
      <c r="L70" s="101">
        <f>K75*50%</f>
        <v>500</v>
      </c>
      <c r="M70" s="101">
        <f>K75*70%</f>
        <v>700</v>
      </c>
      <c r="N70" s="111">
        <v>2023</v>
      </c>
      <c r="O70" s="120" t="s">
        <v>66</v>
      </c>
      <c r="P70" s="121">
        <v>45147</v>
      </c>
    </row>
    <row r="71" spans="1:16" ht="22.2">
      <c r="A71" s="122"/>
      <c r="B71" s="124"/>
      <c r="C71" s="126"/>
      <c r="D71" s="126"/>
      <c r="E71" s="126"/>
      <c r="F71" s="1" t="s">
        <v>41</v>
      </c>
      <c r="G71" s="1" t="s">
        <v>41</v>
      </c>
      <c r="H71" s="1" t="s">
        <v>90</v>
      </c>
      <c r="I71" s="3">
        <v>400</v>
      </c>
      <c r="J71" s="19">
        <v>0.5</v>
      </c>
      <c r="K71" s="3">
        <f>I71*J71</f>
        <v>200</v>
      </c>
      <c r="L71" s="102"/>
      <c r="M71" s="102"/>
      <c r="N71" s="111"/>
      <c r="O71" s="120"/>
      <c r="P71" s="121"/>
    </row>
    <row r="72" spans="1:16" ht="22.2">
      <c r="A72" s="122"/>
      <c r="B72" s="124"/>
      <c r="C72" s="126"/>
      <c r="D72" s="126"/>
      <c r="E72" s="126"/>
      <c r="F72" s="1" t="s">
        <v>83</v>
      </c>
      <c r="G72" s="1" t="s">
        <v>72</v>
      </c>
      <c r="H72" s="1" t="s">
        <v>64</v>
      </c>
      <c r="I72" s="3">
        <v>300</v>
      </c>
      <c r="J72" s="19">
        <v>0.5</v>
      </c>
      <c r="K72" s="3">
        <f>I72*J72</f>
        <v>150</v>
      </c>
      <c r="L72" s="102"/>
      <c r="M72" s="102"/>
      <c r="N72" s="111"/>
      <c r="O72" s="120"/>
      <c r="P72" s="121"/>
    </row>
    <row r="73" spans="1:16" ht="22.2">
      <c r="A73" s="122"/>
      <c r="B73" s="124"/>
      <c r="C73" s="126"/>
      <c r="D73" s="126"/>
      <c r="E73" s="126"/>
      <c r="F73" s="1" t="s">
        <v>57</v>
      </c>
      <c r="G73" s="1" t="s">
        <v>57</v>
      </c>
      <c r="H73" s="1" t="s">
        <v>64</v>
      </c>
      <c r="I73" s="3">
        <v>300</v>
      </c>
      <c r="J73" s="19">
        <v>0.5</v>
      </c>
      <c r="K73" s="3">
        <f>I73*J73</f>
        <v>150</v>
      </c>
      <c r="L73" s="102"/>
      <c r="M73" s="102"/>
      <c r="N73" s="111"/>
      <c r="O73" s="120"/>
      <c r="P73" s="121"/>
    </row>
    <row r="74" spans="1:16" ht="22.2">
      <c r="A74" s="122"/>
      <c r="B74" s="125"/>
      <c r="C74" s="126"/>
      <c r="D74" s="126"/>
      <c r="E74" s="126"/>
      <c r="F74" s="1" t="s">
        <v>51</v>
      </c>
      <c r="G74" s="1" t="s">
        <v>40</v>
      </c>
      <c r="H74" s="1" t="s">
        <v>65</v>
      </c>
      <c r="I74" s="3">
        <v>200</v>
      </c>
      <c r="J74" s="19">
        <v>0.5</v>
      </c>
      <c r="K74" s="3">
        <f>I74*J74</f>
        <v>100</v>
      </c>
      <c r="L74" s="103"/>
      <c r="M74" s="103"/>
      <c r="N74" s="111"/>
      <c r="O74" s="120"/>
      <c r="P74" s="121"/>
    </row>
    <row r="75" spans="1:16" ht="22.2">
      <c r="A75" s="64"/>
      <c r="B75" s="39" t="s">
        <v>102</v>
      </c>
      <c r="C75" s="65"/>
      <c r="D75" s="65"/>
      <c r="E75" s="65"/>
      <c r="F75" s="24"/>
      <c r="G75" s="24"/>
      <c r="H75" s="24"/>
      <c r="I75" s="24"/>
      <c r="J75" s="24"/>
      <c r="K75" s="49">
        <f>SUM(K70:K74)</f>
        <v>1000</v>
      </c>
      <c r="L75" s="24"/>
      <c r="M75" s="24"/>
      <c r="N75" s="23"/>
      <c r="O75" s="68"/>
      <c r="P75" s="69"/>
    </row>
    <row r="76" spans="1:16" ht="23.4" customHeight="1">
      <c r="A76" s="116">
        <v>16</v>
      </c>
      <c r="B76" s="117" t="s">
        <v>30</v>
      </c>
      <c r="C76" s="119" t="s">
        <v>105</v>
      </c>
      <c r="D76" s="119">
        <v>33</v>
      </c>
      <c r="E76" s="119">
        <v>563105436</v>
      </c>
      <c r="F76" s="1" t="s">
        <v>51</v>
      </c>
      <c r="G76" s="1" t="s">
        <v>40</v>
      </c>
      <c r="H76" s="5" t="s">
        <v>91</v>
      </c>
      <c r="I76" s="5">
        <v>400</v>
      </c>
      <c r="J76" s="18">
        <v>1</v>
      </c>
      <c r="K76" s="5">
        <f t="shared" ref="K76:K82" si="3">I76*J76</f>
        <v>400</v>
      </c>
      <c r="L76" s="101">
        <f>K83*50%</f>
        <v>475</v>
      </c>
      <c r="M76" s="101">
        <f>K83*70%</f>
        <v>665</v>
      </c>
      <c r="N76" s="114" t="s">
        <v>92</v>
      </c>
      <c r="O76" s="114" t="s">
        <v>93</v>
      </c>
      <c r="P76" s="115">
        <v>44319</v>
      </c>
    </row>
    <row r="77" spans="1:16" ht="22.95" customHeight="1">
      <c r="A77" s="116"/>
      <c r="B77" s="118"/>
      <c r="C77" s="119"/>
      <c r="D77" s="119"/>
      <c r="E77" s="119"/>
      <c r="F77" s="1" t="s">
        <v>55</v>
      </c>
      <c r="G77" s="1" t="s">
        <v>39</v>
      </c>
      <c r="H77" s="1" t="s">
        <v>61</v>
      </c>
      <c r="I77" s="3">
        <v>400</v>
      </c>
      <c r="J77" s="19">
        <v>0.5</v>
      </c>
      <c r="K77" s="3">
        <f t="shared" si="3"/>
        <v>200</v>
      </c>
      <c r="L77" s="102"/>
      <c r="M77" s="102"/>
      <c r="N77" s="114"/>
      <c r="O77" s="114"/>
      <c r="P77" s="115"/>
    </row>
    <row r="78" spans="1:16" ht="22.95" customHeight="1">
      <c r="A78" s="116"/>
      <c r="B78" s="118"/>
      <c r="C78" s="119"/>
      <c r="D78" s="119"/>
      <c r="E78" s="119"/>
      <c r="F78" s="1" t="s">
        <v>55</v>
      </c>
      <c r="G78" s="1" t="s">
        <v>62</v>
      </c>
      <c r="H78" s="1" t="s">
        <v>58</v>
      </c>
      <c r="I78" s="3">
        <v>400</v>
      </c>
      <c r="J78" s="19">
        <v>0</v>
      </c>
      <c r="K78" s="3">
        <f t="shared" si="3"/>
        <v>0</v>
      </c>
      <c r="L78" s="102"/>
      <c r="M78" s="102"/>
      <c r="N78" s="114"/>
      <c r="O78" s="114"/>
      <c r="P78" s="115"/>
    </row>
    <row r="79" spans="1:16" ht="22.95" customHeight="1">
      <c r="A79" s="116"/>
      <c r="B79" s="118"/>
      <c r="C79" s="119"/>
      <c r="D79" s="119"/>
      <c r="E79" s="119"/>
      <c r="F79" s="1" t="s">
        <v>57</v>
      </c>
      <c r="G79" s="1" t="s">
        <v>57</v>
      </c>
      <c r="H79" s="1" t="s">
        <v>64</v>
      </c>
      <c r="I79" s="3">
        <v>300</v>
      </c>
      <c r="J79" s="19">
        <v>0.5</v>
      </c>
      <c r="K79" s="3">
        <f t="shared" si="3"/>
        <v>150</v>
      </c>
      <c r="L79" s="102"/>
      <c r="M79" s="102"/>
      <c r="N79" s="114"/>
      <c r="O79" s="114"/>
      <c r="P79" s="115"/>
    </row>
    <row r="80" spans="1:16" ht="22.95" customHeight="1">
      <c r="A80" s="116"/>
      <c r="B80" s="118"/>
      <c r="C80" s="119"/>
      <c r="D80" s="119"/>
      <c r="E80" s="119"/>
      <c r="F80" s="1" t="s">
        <v>94</v>
      </c>
      <c r="G80" s="1" t="s">
        <v>80</v>
      </c>
      <c r="H80" s="1" t="s">
        <v>76</v>
      </c>
      <c r="I80" s="3">
        <v>100</v>
      </c>
      <c r="J80" s="19">
        <v>0</v>
      </c>
      <c r="K80" s="3">
        <f t="shared" si="3"/>
        <v>0</v>
      </c>
      <c r="L80" s="102"/>
      <c r="M80" s="102"/>
      <c r="N80" s="114"/>
      <c r="O80" s="114"/>
      <c r="P80" s="115"/>
    </row>
    <row r="81" spans="1:16" ht="22.95" customHeight="1">
      <c r="A81" s="116"/>
      <c r="B81" s="118"/>
      <c r="C81" s="119"/>
      <c r="D81" s="119"/>
      <c r="E81" s="119"/>
      <c r="F81" s="1" t="s">
        <v>41</v>
      </c>
      <c r="G81" s="1" t="s">
        <v>41</v>
      </c>
      <c r="H81" s="5" t="s">
        <v>65</v>
      </c>
      <c r="I81" s="5">
        <v>200</v>
      </c>
      <c r="J81" s="18">
        <v>0.5</v>
      </c>
      <c r="K81" s="5">
        <f t="shared" si="3"/>
        <v>100</v>
      </c>
      <c r="L81" s="102"/>
      <c r="M81" s="102"/>
      <c r="N81" s="114"/>
      <c r="O81" s="114"/>
      <c r="P81" s="115"/>
    </row>
    <row r="82" spans="1:16" ht="22.95" customHeight="1">
      <c r="A82" s="116"/>
      <c r="B82" s="118"/>
      <c r="C82" s="119"/>
      <c r="D82" s="119"/>
      <c r="E82" s="119"/>
      <c r="F82" s="1" t="s">
        <v>71</v>
      </c>
      <c r="G82" s="1" t="s">
        <v>42</v>
      </c>
      <c r="H82" s="1" t="s">
        <v>65</v>
      </c>
      <c r="I82" s="3">
        <v>200</v>
      </c>
      <c r="J82" s="19">
        <v>0.5</v>
      </c>
      <c r="K82" s="3">
        <f t="shared" si="3"/>
        <v>100</v>
      </c>
      <c r="L82" s="103"/>
      <c r="M82" s="103"/>
      <c r="N82" s="114"/>
      <c r="O82" s="114"/>
      <c r="P82" s="115"/>
    </row>
    <row r="83" spans="1:16" ht="22.95" customHeight="1">
      <c r="A83" s="86"/>
      <c r="B83" s="87" t="s">
        <v>102</v>
      </c>
      <c r="C83" s="88"/>
      <c r="D83" s="88"/>
      <c r="E83" s="88"/>
      <c r="F83" s="24"/>
      <c r="G83" s="24"/>
      <c r="H83" s="24"/>
      <c r="I83" s="24"/>
      <c r="J83" s="24"/>
      <c r="K83" s="49">
        <f>SUM(K76:K82)</f>
        <v>950</v>
      </c>
      <c r="L83" s="24"/>
      <c r="M83" s="24"/>
      <c r="N83" s="81"/>
      <c r="O83" s="81"/>
      <c r="P83" s="82"/>
    </row>
    <row r="84" spans="1:16" ht="22.2">
      <c r="A84" s="109">
        <v>17</v>
      </c>
      <c r="B84" s="109" t="s">
        <v>31</v>
      </c>
      <c r="C84" s="110" t="s">
        <v>32</v>
      </c>
      <c r="D84" s="110">
        <v>37</v>
      </c>
      <c r="E84" s="110">
        <v>563105436</v>
      </c>
      <c r="F84" s="1" t="s">
        <v>51</v>
      </c>
      <c r="G84" s="1" t="s">
        <v>40</v>
      </c>
      <c r="H84" s="2" t="s">
        <v>64</v>
      </c>
      <c r="I84" s="4">
        <v>300</v>
      </c>
      <c r="J84" s="18">
        <v>0.5</v>
      </c>
      <c r="K84" s="4">
        <f>I84*J84</f>
        <v>150</v>
      </c>
      <c r="L84" s="104">
        <f>K88*50%</f>
        <v>500</v>
      </c>
      <c r="M84" s="104">
        <f>K88*70%</f>
        <v>700</v>
      </c>
      <c r="N84" s="111">
        <v>2023</v>
      </c>
      <c r="O84" s="112" t="s">
        <v>66</v>
      </c>
      <c r="P84" s="113">
        <v>45147</v>
      </c>
    </row>
    <row r="85" spans="1:16" ht="22.2">
      <c r="A85" s="109"/>
      <c r="B85" s="109"/>
      <c r="C85" s="110"/>
      <c r="D85" s="110"/>
      <c r="E85" s="110"/>
      <c r="F85" s="1" t="s">
        <v>55</v>
      </c>
      <c r="G85" s="1" t="s">
        <v>39</v>
      </c>
      <c r="H85" s="2" t="s">
        <v>52</v>
      </c>
      <c r="I85" s="4">
        <v>600</v>
      </c>
      <c r="J85" s="19">
        <v>1</v>
      </c>
      <c r="K85" s="4">
        <f>I85*J85</f>
        <v>600</v>
      </c>
      <c r="L85" s="105"/>
      <c r="M85" s="105"/>
      <c r="N85" s="111"/>
      <c r="O85" s="112"/>
      <c r="P85" s="113"/>
    </row>
    <row r="86" spans="1:16" ht="22.2">
      <c r="A86" s="109"/>
      <c r="B86" s="109"/>
      <c r="C86" s="110"/>
      <c r="D86" s="110"/>
      <c r="E86" s="110"/>
      <c r="F86" s="1" t="s">
        <v>57</v>
      </c>
      <c r="G86" s="1" t="s">
        <v>57</v>
      </c>
      <c r="H86" s="2" t="s">
        <v>64</v>
      </c>
      <c r="I86" s="4">
        <v>300</v>
      </c>
      <c r="J86" s="19">
        <v>0.5</v>
      </c>
      <c r="K86" s="4">
        <f>I86*J86</f>
        <v>150</v>
      </c>
      <c r="L86" s="105"/>
      <c r="M86" s="105"/>
      <c r="N86" s="111"/>
      <c r="O86" s="112"/>
      <c r="P86" s="113"/>
    </row>
    <row r="87" spans="1:16" ht="22.2">
      <c r="A87" s="109"/>
      <c r="B87" s="109"/>
      <c r="C87" s="110"/>
      <c r="D87" s="110"/>
      <c r="E87" s="110"/>
      <c r="F87" s="1" t="s">
        <v>41</v>
      </c>
      <c r="G87" s="1" t="s">
        <v>41</v>
      </c>
      <c r="H87" s="2" t="s">
        <v>65</v>
      </c>
      <c r="I87" s="4">
        <v>200</v>
      </c>
      <c r="J87" s="19">
        <v>0.5</v>
      </c>
      <c r="K87" s="4">
        <f>I87*J87</f>
        <v>100</v>
      </c>
      <c r="L87" s="106"/>
      <c r="M87" s="106"/>
      <c r="N87" s="111"/>
      <c r="O87" s="112"/>
      <c r="P87" s="113"/>
    </row>
    <row r="88" spans="1:16" ht="22.2">
      <c r="A88" s="24"/>
      <c r="B88" s="24" t="s">
        <v>102</v>
      </c>
      <c r="C88" s="28"/>
      <c r="D88" s="28"/>
      <c r="E88" s="28"/>
      <c r="F88" s="24"/>
      <c r="G88" s="24"/>
      <c r="H88" s="29"/>
      <c r="I88" s="29"/>
      <c r="J88" s="29"/>
      <c r="K88" s="50">
        <f>SUM(K84:K87)</f>
        <v>1000</v>
      </c>
      <c r="L88" s="29"/>
      <c r="M88" s="29"/>
      <c r="N88" s="23"/>
      <c r="O88" s="46"/>
      <c r="P88" s="74"/>
    </row>
    <row r="89" spans="1:16" ht="22.2">
      <c r="A89" s="109">
        <v>18</v>
      </c>
      <c r="B89" s="109" t="s">
        <v>33</v>
      </c>
      <c r="C89" s="110" t="s">
        <v>34</v>
      </c>
      <c r="D89" s="110">
        <v>39</v>
      </c>
      <c r="E89" s="110">
        <v>563133958</v>
      </c>
      <c r="F89" s="1" t="s">
        <v>55</v>
      </c>
      <c r="G89" s="1" t="s">
        <v>39</v>
      </c>
      <c r="H89" s="1" t="s">
        <v>52</v>
      </c>
      <c r="I89" s="3">
        <v>600</v>
      </c>
      <c r="J89" s="18">
        <v>1</v>
      </c>
      <c r="K89" s="3">
        <f t="shared" ref="K89:K94" si="4">I89*J89</f>
        <v>600</v>
      </c>
      <c r="L89" s="101">
        <f>K95*50%</f>
        <v>550</v>
      </c>
      <c r="M89" s="101">
        <f>K95*70%</f>
        <v>770</v>
      </c>
      <c r="N89" s="110">
        <v>2023</v>
      </c>
      <c r="O89" s="107" t="s">
        <v>95</v>
      </c>
      <c r="P89" s="108">
        <v>45096</v>
      </c>
    </row>
    <row r="90" spans="1:16" ht="22.2">
      <c r="A90" s="109"/>
      <c r="B90" s="109"/>
      <c r="C90" s="110"/>
      <c r="D90" s="110"/>
      <c r="E90" s="110"/>
      <c r="F90" s="1" t="s">
        <v>51</v>
      </c>
      <c r="G90" s="1" t="s">
        <v>40</v>
      </c>
      <c r="H90" s="1" t="s">
        <v>65</v>
      </c>
      <c r="I90" s="3">
        <v>200</v>
      </c>
      <c r="J90" s="19">
        <v>0.5</v>
      </c>
      <c r="K90" s="3">
        <f t="shared" si="4"/>
        <v>100</v>
      </c>
      <c r="L90" s="102"/>
      <c r="M90" s="102"/>
      <c r="N90" s="110"/>
      <c r="O90" s="107"/>
      <c r="P90" s="108"/>
    </row>
    <row r="91" spans="1:16" ht="43.2">
      <c r="A91" s="109"/>
      <c r="B91" s="109"/>
      <c r="C91" s="110"/>
      <c r="D91" s="110"/>
      <c r="E91" s="110"/>
      <c r="F91" s="1" t="s">
        <v>55</v>
      </c>
      <c r="G91" s="1" t="s">
        <v>77</v>
      </c>
      <c r="H91" s="1" t="s">
        <v>64</v>
      </c>
      <c r="I91" s="3">
        <v>300</v>
      </c>
      <c r="J91" s="19">
        <v>0</v>
      </c>
      <c r="K91" s="3">
        <f t="shared" si="4"/>
        <v>0</v>
      </c>
      <c r="L91" s="102"/>
      <c r="M91" s="102"/>
      <c r="N91" s="110"/>
      <c r="O91" s="107"/>
      <c r="P91" s="108"/>
    </row>
    <row r="92" spans="1:16" ht="22.2">
      <c r="A92" s="109"/>
      <c r="B92" s="109"/>
      <c r="C92" s="110"/>
      <c r="D92" s="110"/>
      <c r="E92" s="110"/>
      <c r="F92" s="1" t="s">
        <v>57</v>
      </c>
      <c r="G92" s="1" t="s">
        <v>57</v>
      </c>
      <c r="H92" s="1" t="s">
        <v>58</v>
      </c>
      <c r="I92" s="3">
        <v>400</v>
      </c>
      <c r="J92" s="19">
        <v>0.5</v>
      </c>
      <c r="K92" s="3">
        <f t="shared" si="4"/>
        <v>200</v>
      </c>
      <c r="L92" s="102"/>
      <c r="M92" s="102"/>
      <c r="N92" s="110"/>
      <c r="O92" s="107"/>
      <c r="P92" s="108"/>
    </row>
    <row r="93" spans="1:16" ht="22.2">
      <c r="A93" s="109"/>
      <c r="B93" s="109"/>
      <c r="C93" s="110"/>
      <c r="D93" s="110"/>
      <c r="E93" s="110"/>
      <c r="F93" s="1" t="s">
        <v>41</v>
      </c>
      <c r="G93" s="1" t="s">
        <v>41</v>
      </c>
      <c r="H93" s="1" t="s">
        <v>65</v>
      </c>
      <c r="I93" s="3">
        <v>200</v>
      </c>
      <c r="J93" s="19">
        <v>0.5</v>
      </c>
      <c r="K93" s="3">
        <f t="shared" si="4"/>
        <v>100</v>
      </c>
      <c r="L93" s="102"/>
      <c r="M93" s="102"/>
      <c r="N93" s="110"/>
      <c r="O93" s="107"/>
      <c r="P93" s="108"/>
    </row>
    <row r="94" spans="1:16" ht="22.2">
      <c r="A94" s="109"/>
      <c r="B94" s="109"/>
      <c r="C94" s="110"/>
      <c r="D94" s="110"/>
      <c r="E94" s="110"/>
      <c r="F94" s="1" t="s">
        <v>96</v>
      </c>
      <c r="G94" s="1" t="s">
        <v>97</v>
      </c>
      <c r="H94" s="1" t="s">
        <v>65</v>
      </c>
      <c r="I94" s="3">
        <v>200</v>
      </c>
      <c r="J94" s="18">
        <v>0.5</v>
      </c>
      <c r="K94" s="3">
        <f t="shared" si="4"/>
        <v>100</v>
      </c>
      <c r="L94" s="103"/>
      <c r="M94" s="103"/>
      <c r="N94" s="110"/>
      <c r="O94" s="107"/>
      <c r="P94" s="108"/>
    </row>
    <row r="95" spans="1:16" ht="21.6">
      <c r="A95" s="24"/>
      <c r="B95" s="24" t="s">
        <v>102</v>
      </c>
      <c r="C95" s="28"/>
      <c r="D95" s="28"/>
      <c r="E95" s="28"/>
      <c r="F95" s="24"/>
      <c r="G95" s="24"/>
      <c r="H95" s="24"/>
      <c r="I95" s="24"/>
      <c r="J95" s="24"/>
      <c r="K95" s="49">
        <f>SUM(K89:K94)</f>
        <v>1100</v>
      </c>
      <c r="L95" s="24"/>
      <c r="M95" s="24"/>
      <c r="N95" s="28"/>
      <c r="O95" s="63"/>
      <c r="P95" s="47"/>
    </row>
    <row r="96" spans="1:16" ht="22.2">
      <c r="A96" s="99">
        <v>19</v>
      </c>
      <c r="B96" s="99" t="s">
        <v>35</v>
      </c>
      <c r="C96" s="100" t="s">
        <v>23</v>
      </c>
      <c r="D96" s="100">
        <v>40</v>
      </c>
      <c r="E96" s="100">
        <v>563141217</v>
      </c>
      <c r="F96" s="1" t="s">
        <v>55</v>
      </c>
      <c r="G96" s="1" t="s">
        <v>39</v>
      </c>
      <c r="H96" s="1" t="s">
        <v>56</v>
      </c>
      <c r="I96" s="3">
        <v>600</v>
      </c>
      <c r="J96" s="18">
        <v>1</v>
      </c>
      <c r="K96" s="3">
        <f t="shared" ref="K96:K101" si="5">I96*J96</f>
        <v>600</v>
      </c>
      <c r="L96" s="101">
        <f>K102*50%</f>
        <v>600</v>
      </c>
      <c r="M96" s="101">
        <f>K102*70%</f>
        <v>840</v>
      </c>
      <c r="N96" s="97" t="s">
        <v>53</v>
      </c>
      <c r="O96" s="97" t="s">
        <v>84</v>
      </c>
      <c r="P96" s="98">
        <v>44649</v>
      </c>
    </row>
    <row r="97" spans="1:16" ht="22.2">
      <c r="A97" s="99"/>
      <c r="B97" s="99"/>
      <c r="C97" s="100"/>
      <c r="D97" s="100"/>
      <c r="E97" s="100"/>
      <c r="F97" s="1" t="s">
        <v>51</v>
      </c>
      <c r="G97" s="1" t="s">
        <v>40</v>
      </c>
      <c r="H97" s="1" t="s">
        <v>89</v>
      </c>
      <c r="I97" s="3">
        <v>400</v>
      </c>
      <c r="J97" s="19">
        <v>0.5</v>
      </c>
      <c r="K97" s="3">
        <f t="shared" si="5"/>
        <v>200</v>
      </c>
      <c r="L97" s="102"/>
      <c r="M97" s="102"/>
      <c r="N97" s="97"/>
      <c r="O97" s="97"/>
      <c r="P97" s="98"/>
    </row>
    <row r="98" spans="1:16" ht="22.2">
      <c r="A98" s="99"/>
      <c r="B98" s="99"/>
      <c r="C98" s="100"/>
      <c r="D98" s="100"/>
      <c r="E98" s="100"/>
      <c r="F98" s="1" t="s">
        <v>55</v>
      </c>
      <c r="G98" s="1" t="s">
        <v>62</v>
      </c>
      <c r="H98" s="1" t="s">
        <v>90</v>
      </c>
      <c r="I98" s="3">
        <v>400</v>
      </c>
      <c r="J98" s="19">
        <v>0</v>
      </c>
      <c r="K98" s="3">
        <f t="shared" si="5"/>
        <v>0</v>
      </c>
      <c r="L98" s="102"/>
      <c r="M98" s="102"/>
      <c r="N98" s="97"/>
      <c r="O98" s="97"/>
      <c r="P98" s="98"/>
    </row>
    <row r="99" spans="1:16" ht="22.2">
      <c r="A99" s="99"/>
      <c r="B99" s="99"/>
      <c r="C99" s="100"/>
      <c r="D99" s="100"/>
      <c r="E99" s="100"/>
      <c r="F99" s="1" t="s">
        <v>57</v>
      </c>
      <c r="G99" s="1" t="s">
        <v>57</v>
      </c>
      <c r="H99" s="1" t="s">
        <v>90</v>
      </c>
      <c r="I99" s="3">
        <v>400</v>
      </c>
      <c r="J99" s="19">
        <v>0.5</v>
      </c>
      <c r="K99" s="3">
        <f t="shared" si="5"/>
        <v>200</v>
      </c>
      <c r="L99" s="102"/>
      <c r="M99" s="102"/>
      <c r="N99" s="97"/>
      <c r="O99" s="97"/>
      <c r="P99" s="98"/>
    </row>
    <row r="100" spans="1:16" ht="22.2">
      <c r="A100" s="99"/>
      <c r="B100" s="99"/>
      <c r="C100" s="100"/>
      <c r="D100" s="100"/>
      <c r="E100" s="100"/>
      <c r="F100" s="1" t="s">
        <v>57</v>
      </c>
      <c r="G100" s="1" t="s">
        <v>80</v>
      </c>
      <c r="H100" s="1" t="s">
        <v>70</v>
      </c>
      <c r="I100" s="3">
        <v>400</v>
      </c>
      <c r="J100" s="19">
        <v>0</v>
      </c>
      <c r="K100" s="3">
        <f t="shared" si="5"/>
        <v>0</v>
      </c>
      <c r="L100" s="102"/>
      <c r="M100" s="102"/>
      <c r="N100" s="97"/>
      <c r="O100" s="97"/>
      <c r="P100" s="98"/>
    </row>
    <row r="101" spans="1:16" ht="22.2">
      <c r="A101" s="99"/>
      <c r="B101" s="99"/>
      <c r="C101" s="100"/>
      <c r="D101" s="100"/>
      <c r="E101" s="100"/>
      <c r="F101" s="1" t="s">
        <v>41</v>
      </c>
      <c r="G101" s="1" t="s">
        <v>41</v>
      </c>
      <c r="H101" s="1" t="s">
        <v>70</v>
      </c>
      <c r="I101" s="3">
        <v>400</v>
      </c>
      <c r="J101" s="18">
        <v>0.5</v>
      </c>
      <c r="K101" s="3">
        <f t="shared" si="5"/>
        <v>200</v>
      </c>
      <c r="L101" s="103"/>
      <c r="M101" s="103"/>
      <c r="N101" s="97"/>
      <c r="O101" s="97"/>
      <c r="P101" s="98"/>
    </row>
    <row r="102" spans="1:16" ht="23.25" customHeight="1">
      <c r="A102" s="89"/>
      <c r="B102" s="89" t="s">
        <v>102</v>
      </c>
      <c r="C102" s="90"/>
      <c r="D102" s="90"/>
      <c r="E102" s="90"/>
      <c r="F102" s="24"/>
      <c r="G102" s="24"/>
      <c r="H102" s="24"/>
      <c r="I102" s="24"/>
      <c r="J102" s="24"/>
      <c r="K102" s="49">
        <f>SUM(K96:K101)</f>
        <v>1200</v>
      </c>
      <c r="L102" s="24"/>
      <c r="M102" s="24"/>
      <c r="N102" s="91"/>
      <c r="O102" s="91"/>
      <c r="P102" s="92"/>
    </row>
    <row r="103" spans="1:16" ht="22.2">
      <c r="A103" s="95">
        <v>20</v>
      </c>
      <c r="B103" s="95" t="s">
        <v>36</v>
      </c>
      <c r="C103" s="96" t="s">
        <v>37</v>
      </c>
      <c r="D103" s="96">
        <v>42</v>
      </c>
      <c r="E103" s="96">
        <v>563104173</v>
      </c>
      <c r="F103" s="1" t="s">
        <v>51</v>
      </c>
      <c r="G103" s="1" t="s">
        <v>40</v>
      </c>
      <c r="H103" s="2" t="s">
        <v>61</v>
      </c>
      <c r="I103" s="4">
        <v>400</v>
      </c>
      <c r="J103" s="18">
        <v>1</v>
      </c>
      <c r="K103" s="4">
        <f>I103*J103</f>
        <v>400</v>
      </c>
      <c r="L103" s="104">
        <f>K106*50%</f>
        <v>400</v>
      </c>
      <c r="M103" s="104">
        <f>K106*70%</f>
        <v>560</v>
      </c>
      <c r="N103" s="93" t="s">
        <v>98</v>
      </c>
      <c r="O103" s="93" t="s">
        <v>99</v>
      </c>
      <c r="P103" s="94">
        <v>41771</v>
      </c>
    </row>
    <row r="104" spans="1:16" ht="22.2">
      <c r="A104" s="95"/>
      <c r="B104" s="95"/>
      <c r="C104" s="96"/>
      <c r="D104" s="96"/>
      <c r="E104" s="96"/>
      <c r="F104" s="1" t="s">
        <v>55</v>
      </c>
      <c r="G104" s="1" t="s">
        <v>39</v>
      </c>
      <c r="H104" s="2" t="s">
        <v>61</v>
      </c>
      <c r="I104" s="4">
        <v>400</v>
      </c>
      <c r="J104" s="19">
        <v>0.5</v>
      </c>
      <c r="K104" s="4">
        <f>I104*J104</f>
        <v>200</v>
      </c>
      <c r="L104" s="105"/>
      <c r="M104" s="105"/>
      <c r="N104" s="93"/>
      <c r="O104" s="93"/>
      <c r="P104" s="94"/>
    </row>
    <row r="105" spans="1:16" ht="22.2">
      <c r="A105" s="95"/>
      <c r="B105" s="95"/>
      <c r="C105" s="96"/>
      <c r="D105" s="96"/>
      <c r="E105" s="96"/>
      <c r="F105" s="1" t="s">
        <v>41</v>
      </c>
      <c r="G105" s="1" t="s">
        <v>41</v>
      </c>
      <c r="H105" s="2" t="s">
        <v>58</v>
      </c>
      <c r="I105" s="4">
        <v>400</v>
      </c>
      <c r="J105" s="19">
        <v>0.5</v>
      </c>
      <c r="K105" s="4">
        <f>I105*J105</f>
        <v>200</v>
      </c>
      <c r="L105" s="106"/>
      <c r="M105" s="106"/>
      <c r="N105" s="93"/>
      <c r="O105" s="93"/>
      <c r="P105" s="94"/>
    </row>
    <row r="106" spans="1:16" ht="30.75" customHeight="1">
      <c r="A106" s="59"/>
      <c r="B106" s="59" t="s">
        <v>102</v>
      </c>
      <c r="C106" s="59"/>
      <c r="D106" s="59"/>
      <c r="E106" s="59"/>
      <c r="F106" s="59"/>
      <c r="G106" s="59"/>
      <c r="H106" s="59"/>
      <c r="I106" s="59"/>
      <c r="J106" s="59"/>
      <c r="K106" s="58">
        <f>SUM(K103:K105)</f>
        <v>800</v>
      </c>
      <c r="L106" s="59"/>
      <c r="M106" s="59"/>
      <c r="N106" s="60"/>
      <c r="O106" s="61"/>
      <c r="P106" s="62"/>
    </row>
  </sheetData>
  <mergeCells count="195">
    <mergeCell ref="B12:B16"/>
    <mergeCell ref="L12:L16"/>
    <mergeCell ref="M12:M16"/>
    <mergeCell ref="L18:L21"/>
    <mergeCell ref="M18:M21"/>
    <mergeCell ref="N18:N21"/>
    <mergeCell ref="O18:O21"/>
    <mergeCell ref="P18:P21"/>
    <mergeCell ref="L26:L30"/>
    <mergeCell ref="M26:M30"/>
    <mergeCell ref="L23:L24"/>
    <mergeCell ref="M23:M24"/>
    <mergeCell ref="O26:O30"/>
    <mergeCell ref="P26:P30"/>
    <mergeCell ref="C7:C10"/>
    <mergeCell ref="C12:C16"/>
    <mergeCell ref="C18:C21"/>
    <mergeCell ref="C23:C24"/>
    <mergeCell ref="C26:C30"/>
    <mergeCell ref="C32:C34"/>
    <mergeCell ref="C36:C39"/>
    <mergeCell ref="C41:C42"/>
    <mergeCell ref="L32:L34"/>
    <mergeCell ref="L36:L39"/>
    <mergeCell ref="L41:L42"/>
    <mergeCell ref="O2:O5"/>
    <mergeCell ref="P2:P5"/>
    <mergeCell ref="A2:A5"/>
    <mergeCell ref="B2:B5"/>
    <mergeCell ref="D2:D5"/>
    <mergeCell ref="E2:E5"/>
    <mergeCell ref="A18:A21"/>
    <mergeCell ref="B18:B21"/>
    <mergeCell ref="D18:D21"/>
    <mergeCell ref="E18:E21"/>
    <mergeCell ref="N12:N16"/>
    <mergeCell ref="O12:O16"/>
    <mergeCell ref="P12:P16"/>
    <mergeCell ref="A12:A16"/>
    <mergeCell ref="D12:D16"/>
    <mergeCell ref="E12:E16"/>
    <mergeCell ref="N7:N10"/>
    <mergeCell ref="O7:O10"/>
    <mergeCell ref="P7:P10"/>
    <mergeCell ref="A7:A10"/>
    <mergeCell ref="B7:B10"/>
    <mergeCell ref="E7:E10"/>
    <mergeCell ref="N2:N5"/>
    <mergeCell ref="C2:C5"/>
    <mergeCell ref="A26:A30"/>
    <mergeCell ref="B26:B30"/>
    <mergeCell ref="D26:D30"/>
    <mergeCell ref="E26:E30"/>
    <mergeCell ref="N23:N24"/>
    <mergeCell ref="O23:O24"/>
    <mergeCell ref="P23:P24"/>
    <mergeCell ref="A23:A24"/>
    <mergeCell ref="B23:B24"/>
    <mergeCell ref="D23:D24"/>
    <mergeCell ref="E23:E24"/>
    <mergeCell ref="N26:N30"/>
    <mergeCell ref="O36:O39"/>
    <mergeCell ref="P36:P39"/>
    <mergeCell ref="A36:A39"/>
    <mergeCell ref="B36:B39"/>
    <mergeCell ref="D36:D39"/>
    <mergeCell ref="E36:E39"/>
    <mergeCell ref="N32:N34"/>
    <mergeCell ref="O32:O34"/>
    <mergeCell ref="P32:P34"/>
    <mergeCell ref="A32:A34"/>
    <mergeCell ref="B32:B34"/>
    <mergeCell ref="D32:D34"/>
    <mergeCell ref="E32:E34"/>
    <mergeCell ref="N36:N39"/>
    <mergeCell ref="M32:M34"/>
    <mergeCell ref="M36:M39"/>
    <mergeCell ref="O44:O48"/>
    <mergeCell ref="P44:P48"/>
    <mergeCell ref="A44:A48"/>
    <mergeCell ref="B44:B48"/>
    <mergeCell ref="D44:D48"/>
    <mergeCell ref="E44:E48"/>
    <mergeCell ref="N41:N42"/>
    <mergeCell ref="O41:O42"/>
    <mergeCell ref="P41:P42"/>
    <mergeCell ref="A41:A42"/>
    <mergeCell ref="B41:B42"/>
    <mergeCell ref="D41:D42"/>
    <mergeCell ref="E41:E42"/>
    <mergeCell ref="C44:C48"/>
    <mergeCell ref="M41:M42"/>
    <mergeCell ref="L44:L48"/>
    <mergeCell ref="M44:M48"/>
    <mergeCell ref="N44:N48"/>
    <mergeCell ref="O54:O58"/>
    <mergeCell ref="P54:P58"/>
    <mergeCell ref="A54:A58"/>
    <mergeCell ref="B54:B58"/>
    <mergeCell ref="D54:D58"/>
    <mergeCell ref="E54:E58"/>
    <mergeCell ref="N50:N52"/>
    <mergeCell ref="O50:O52"/>
    <mergeCell ref="P50:P52"/>
    <mergeCell ref="A50:A52"/>
    <mergeCell ref="B50:B52"/>
    <mergeCell ref="D50:D52"/>
    <mergeCell ref="E50:E52"/>
    <mergeCell ref="C50:C52"/>
    <mergeCell ref="C54:C58"/>
    <mergeCell ref="L50:L52"/>
    <mergeCell ref="M50:M52"/>
    <mergeCell ref="N54:N58"/>
    <mergeCell ref="L54:L58"/>
    <mergeCell ref="M54:M58"/>
    <mergeCell ref="O66:O68"/>
    <mergeCell ref="P66:P68"/>
    <mergeCell ref="A66:A68"/>
    <mergeCell ref="B66:B68"/>
    <mergeCell ref="D66:D68"/>
    <mergeCell ref="E66:E68"/>
    <mergeCell ref="N60:N64"/>
    <mergeCell ref="O60:O64"/>
    <mergeCell ref="P60:P64"/>
    <mergeCell ref="A60:A64"/>
    <mergeCell ref="B60:B64"/>
    <mergeCell ref="D60:D64"/>
    <mergeCell ref="E60:E64"/>
    <mergeCell ref="C60:C64"/>
    <mergeCell ref="C66:C68"/>
    <mergeCell ref="L60:L64"/>
    <mergeCell ref="M60:M64"/>
    <mergeCell ref="L66:L68"/>
    <mergeCell ref="M66:M68"/>
    <mergeCell ref="N66:N68"/>
    <mergeCell ref="O76:O82"/>
    <mergeCell ref="P76:P82"/>
    <mergeCell ref="A76:A82"/>
    <mergeCell ref="B76:B82"/>
    <mergeCell ref="D76:D82"/>
    <mergeCell ref="E76:E82"/>
    <mergeCell ref="N70:N74"/>
    <mergeCell ref="O70:O74"/>
    <mergeCell ref="P70:P74"/>
    <mergeCell ref="A70:A74"/>
    <mergeCell ref="B70:B74"/>
    <mergeCell ref="D70:D74"/>
    <mergeCell ref="E70:E74"/>
    <mergeCell ref="C76:C82"/>
    <mergeCell ref="C70:C74"/>
    <mergeCell ref="L70:L74"/>
    <mergeCell ref="M70:M74"/>
    <mergeCell ref="L76:L82"/>
    <mergeCell ref="M76:M82"/>
    <mergeCell ref="N76:N82"/>
    <mergeCell ref="O89:O94"/>
    <mergeCell ref="P89:P94"/>
    <mergeCell ref="A89:A94"/>
    <mergeCell ref="B89:B94"/>
    <mergeCell ref="D89:D94"/>
    <mergeCell ref="E89:E94"/>
    <mergeCell ref="N84:N87"/>
    <mergeCell ref="O84:O87"/>
    <mergeCell ref="P84:P87"/>
    <mergeCell ref="A84:A87"/>
    <mergeCell ref="B84:B87"/>
    <mergeCell ref="D84:D87"/>
    <mergeCell ref="E84:E87"/>
    <mergeCell ref="C84:C87"/>
    <mergeCell ref="C89:C94"/>
    <mergeCell ref="L84:L87"/>
    <mergeCell ref="M84:M87"/>
    <mergeCell ref="L89:L94"/>
    <mergeCell ref="M89:M94"/>
    <mergeCell ref="N89:N94"/>
    <mergeCell ref="N103:N105"/>
    <mergeCell ref="O103:O105"/>
    <mergeCell ref="P103:P105"/>
    <mergeCell ref="A103:A105"/>
    <mergeCell ref="B103:B105"/>
    <mergeCell ref="D103:D105"/>
    <mergeCell ref="E103:E105"/>
    <mergeCell ref="N96:N101"/>
    <mergeCell ref="O96:O101"/>
    <mergeCell ref="P96:P101"/>
    <mergeCell ref="A96:A101"/>
    <mergeCell ref="B96:B101"/>
    <mergeCell ref="D96:D101"/>
    <mergeCell ref="E96:E101"/>
    <mergeCell ref="C103:C105"/>
    <mergeCell ref="C96:C101"/>
    <mergeCell ref="L96:L101"/>
    <mergeCell ref="M96:M101"/>
    <mergeCell ref="L103:L105"/>
    <mergeCell ref="M103:M105"/>
  </mergeCells>
  <pageMargins left="0.7" right="0.7" top="0.75" bottom="0.75" header="0.3" footer="0.3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شركات المقاولات وتصنيفاتهم</vt:lpstr>
      <vt:lpstr>'شركات المقاولات وتصنيفاتهم'!Print_Area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Compulife.Co</dc:creator>
  <cp:lastModifiedBy>Omar Abedalhadi</cp:lastModifiedBy>
  <dcterms:created xsi:type="dcterms:W3CDTF">2026-02-10T18:22:49Z</dcterms:created>
  <dcterms:modified xsi:type="dcterms:W3CDTF">2026-07-18T05:43:24Z</dcterms:modified>
</cp:coreProperties>
</file>